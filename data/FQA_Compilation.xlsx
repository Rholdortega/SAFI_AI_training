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oitncsu-my.sharepoint.com/personal/raortega_ncsu_edu/Documents/Desktop/Chatbot_data/"/>
    </mc:Choice>
  </mc:AlternateContent>
  <bookViews>
    <workbookView xWindow="28680" yWindow="-1560" windowWidth="25440" windowHeight="15270"/>
  </bookViews>
  <sheets>
    <sheet name="Fiber morphology" sheetId="1" r:id="rId1"/>
  </sheets>
  <definedNames>
    <definedName name="_xlnm._FilterDatabase" localSheetId="0" hidden="1">'Fiber morphology'!$A$1:$P$54</definedName>
    <definedName name="FWTEnable">TRUE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2" i="1"/>
</calcChain>
</file>

<file path=xl/comments1.xml><?xml version="1.0" encoding="utf-8"?>
<comments xmlns="http://schemas.openxmlformats.org/spreadsheetml/2006/main">
  <authors>
    <author>Jorge Humberto Franco Ocampo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Jorge Humberto Franco Ocampo:</t>
        </r>
        <r>
          <rPr>
            <sz val="9"/>
            <color indexed="81"/>
            <rFont val="Tahoma"/>
            <family val="2"/>
          </rPr>
          <t xml:space="preserve">
Fiber length (Tappi 271)</t>
        </r>
      </text>
    </comment>
  </commentList>
</comments>
</file>

<file path=xl/sharedStrings.xml><?xml version="1.0" encoding="utf-8"?>
<sst xmlns="http://schemas.openxmlformats.org/spreadsheetml/2006/main" count="334" uniqueCount="74">
  <si>
    <t>Process</t>
  </si>
  <si>
    <t>Kraft</t>
  </si>
  <si>
    <t>OCC</t>
  </si>
  <si>
    <t>Curl Index</t>
  </si>
  <si>
    <t>Kink Index</t>
  </si>
  <si>
    <t>Fines, %</t>
  </si>
  <si>
    <t>Coarseness, mg/m</t>
  </si>
  <si>
    <t>Degree of Ext. Fibrilation</t>
  </si>
  <si>
    <t xml:space="preserve">Kraft </t>
  </si>
  <si>
    <t>Bamboo (high-yield)</t>
  </si>
  <si>
    <t>Kappa number</t>
  </si>
  <si>
    <t>BEK</t>
  </si>
  <si>
    <t>NBSK</t>
  </si>
  <si>
    <t>Amonium sulfite</t>
  </si>
  <si>
    <t>Bleached Eucalyptus Kraft</t>
  </si>
  <si>
    <t>Northern Bleached Softwood Kraft</t>
  </si>
  <si>
    <t>Old corrugated Containerboard</t>
  </si>
  <si>
    <t>kraft</t>
  </si>
  <si>
    <t>Benchmark</t>
  </si>
  <si>
    <t>Tissue</t>
  </si>
  <si>
    <t>Linerboard, corrugated medium</t>
  </si>
  <si>
    <t>Application</t>
  </si>
  <si>
    <t>Linerboard, cartonboard</t>
  </si>
  <si>
    <t>Cartonboard</t>
  </si>
  <si>
    <t>BCTMP</t>
  </si>
  <si>
    <t>Radiata Pine BCTMP</t>
  </si>
  <si>
    <t>Corrugated medium</t>
  </si>
  <si>
    <t>Sodium Carbonate</t>
  </si>
  <si>
    <t>Semi-chemical hardwood</t>
  </si>
  <si>
    <t>Southern Bleached Hardwood Kraft</t>
  </si>
  <si>
    <t>SBHK</t>
  </si>
  <si>
    <t>SBSK</t>
  </si>
  <si>
    <t>Southern Bleached Softwood Kraft</t>
  </si>
  <si>
    <t>Bleached Bamboo Kraft</t>
  </si>
  <si>
    <t>BBK</t>
  </si>
  <si>
    <t>Fiber length                (length weigthed), mm</t>
  </si>
  <si>
    <t>Cartonboard,  folding carton,  printing and writing</t>
  </si>
  <si>
    <t>UBK</t>
  </si>
  <si>
    <t>Description</t>
  </si>
  <si>
    <t>Kraft &amp; Semi-chemical</t>
  </si>
  <si>
    <t>Laboratory</t>
  </si>
  <si>
    <t>Source</t>
  </si>
  <si>
    <t>Wood</t>
  </si>
  <si>
    <t>Non-wood</t>
  </si>
  <si>
    <t>APMP</t>
  </si>
  <si>
    <t>APMP-Bamboo</t>
  </si>
  <si>
    <t>CTMP-Bamboo</t>
  </si>
  <si>
    <t>CTMP</t>
  </si>
  <si>
    <t>Coarseness, mg/km</t>
  </si>
  <si>
    <t>Softwood kraft</t>
  </si>
  <si>
    <t>Bamboo Kraft</t>
  </si>
  <si>
    <t xml:space="preserve">Unbleached Bamboo </t>
  </si>
  <si>
    <t>AS-Wheat straw</t>
  </si>
  <si>
    <t>AS-Miscanthus</t>
  </si>
  <si>
    <t>AS-Switchgrass</t>
  </si>
  <si>
    <t>APMP-Miscanthus</t>
  </si>
  <si>
    <t>CTMP-Wheat straw</t>
  </si>
  <si>
    <t>Wheat straw kraft</t>
  </si>
  <si>
    <t>Type of biomass</t>
  </si>
  <si>
    <t>Pulp Identificaion</t>
  </si>
  <si>
    <t>Semi-chem. Hardwood</t>
  </si>
  <si>
    <t>WS-Kraft</t>
  </si>
  <si>
    <t>CTMP-Wheat straw (strong cond.)</t>
  </si>
  <si>
    <t>AS-Wheat straw (kappa 22)</t>
  </si>
  <si>
    <t>AS-Miscanthus (Kappa 18)</t>
  </si>
  <si>
    <t>AS-Miscanthus (Kappa 26)</t>
  </si>
  <si>
    <t>AS-Miscanthus (Kappa 39)</t>
  </si>
  <si>
    <t>AS-Miscanthus (Kappa 60)</t>
  </si>
  <si>
    <t>AS-Miscanthus (Kappa 71)</t>
  </si>
  <si>
    <t>AS-Miscanthus (Kappa 84)</t>
  </si>
  <si>
    <t>AS-Miscanthus (Kappa 93)</t>
  </si>
  <si>
    <t>To be predict</t>
  </si>
  <si>
    <r>
      <t xml:space="preserve">Width, </t>
    </r>
    <r>
      <rPr>
        <b/>
        <sz val="11"/>
        <color theme="1"/>
        <rFont val="Aptos Narrow"/>
        <family val="2"/>
      </rPr>
      <t>µ</t>
    </r>
    <r>
      <rPr>
        <b/>
        <i/>
        <sz val="11"/>
        <color theme="1"/>
        <rFont val="Calibri"/>
        <family val="2"/>
        <scheme val="minor"/>
      </rPr>
      <t>m</t>
    </r>
  </si>
  <si>
    <t>FWT,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</si>
</sst>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0.0"/>
    <numFmt numFmtId="167" formatCode="0.00000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0" xfId="0" applyFont="1"/>
    <xf numFmtId="0" fontId="2" fillId="0" borderId="2" xfId="0" quotePrefix="1" applyFont="1" applyBorder="1" applyAlignment="1">
      <alignment horizontal="center"/>
    </xf>
    <xf numFmtId="165" fontId="2" fillId="0" borderId="0" xfId="0" applyNumberFormat="1" applyFont="1"/>
    <xf numFmtId="2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2" xfId="0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Wheat straw: Coarseness vs Fiber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'Fiber morphology'!$D$30</c:f>
              <c:strCache>
                <c:ptCount val="1"/>
                <c:pt idx="0">
                  <c:v>AS-Wheat straw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'Fiber morphology'!$H$30:$H$33</c:f>
              <c:numCache>
                <c:formatCode>0.0000</c:formatCode>
                <c:ptCount val="4"/>
                <c:pt idx="0">
                  <c:v>1.1103079437868224</c:v>
                </c:pt>
                <c:pt idx="1">
                  <c:v>1.1259267338819949</c:v>
                </c:pt>
                <c:pt idx="2">
                  <c:v>1.1302130318106518</c:v>
                </c:pt>
                <c:pt idx="3">
                  <c:v>1.031964351118118</c:v>
                </c:pt>
              </c:numCache>
            </c:numRef>
          </c:xVal>
          <c:yVal>
            <c:numRef>
              <c:f>'Fiber morphology'!$M$30:$M$33</c:f>
              <c:numCache>
                <c:formatCode>0.0000</c:formatCode>
                <c:ptCount val="4"/>
                <c:pt idx="0">
                  <c:v>0.246941353935035</c:v>
                </c:pt>
                <c:pt idx="1">
                  <c:v>0.20518639549557699</c:v>
                </c:pt>
                <c:pt idx="2">
                  <c:v>0.13782736908307142</c:v>
                </c:pt>
                <c:pt idx="3">
                  <c:v>0.11921304334058243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D-4C79-9ED7-E3BD0C9D580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'Fiber morphology'!$H$2:$H$4</c:f>
              <c:numCache>
                <c:formatCode>0.000</c:formatCode>
                <c:ptCount val="3"/>
                <c:pt idx="0">
                  <c:v>0.80203695324911983</c:v>
                </c:pt>
                <c:pt idx="1">
                  <c:v>0.8333609359968136</c:v>
                </c:pt>
                <c:pt idx="2">
                  <c:v>2.2697421172718624</c:v>
                </c:pt>
              </c:numCache>
            </c:numRef>
          </c:xVal>
          <c:yVal>
            <c:numRef>
              <c:f>'Fiber morphology'!$M$2:$M$4</c:f>
              <c:numCache>
                <c:formatCode>0.0000</c:formatCode>
                <c:ptCount val="3"/>
                <c:pt idx="0">
                  <c:v>5.9703316749427256E-2</c:v>
                </c:pt>
                <c:pt idx="1">
                  <c:v>5.938754378495878E-2</c:v>
                </c:pt>
                <c:pt idx="2">
                  <c:v>0.15443288608578615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ED-4C79-9ED7-E3BD0C9D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27648"/>
        <c:axId val="1039673792"/>
      </c:scatterChart>
      <c:valAx>
        <c:axId val="1048927648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Fiber length,</a:t>
                </a:r>
                <a:r>
                  <a:rPr lang="en-US" baseline="0"/>
                  <a:t>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73792"/>
        <c:crosses val="autoZero"/>
        <c:crossBetween val="midCat"/>
      </c:valAx>
      <c:valAx>
        <c:axId val="10396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Coarseness, mg/m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Miscanthus: Coarseness vs Fiber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'Fiber morphology'!$D$34</c:f>
              <c:strCache>
                <c:ptCount val="1"/>
                <c:pt idx="0">
                  <c:v>AS-Miscanthus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'Fiber morphology'!$H$34:$H$37</c:f>
              <c:numCache>
                <c:formatCode>0.0000</c:formatCode>
                <c:ptCount val="4"/>
                <c:pt idx="0">
                  <c:v>1.0405938669253891</c:v>
                </c:pt>
                <c:pt idx="1">
                  <c:v>1.0866844934223807</c:v>
                </c:pt>
                <c:pt idx="2">
                  <c:v>1.1327354023564518</c:v>
                </c:pt>
                <c:pt idx="3">
                  <c:v>1.1404366638951211</c:v>
                </c:pt>
              </c:numCache>
            </c:numRef>
          </c:xVal>
          <c:yVal>
            <c:numRef>
              <c:f>'Fiber morphology'!$M$34:$M$37</c:f>
              <c:numCache>
                <c:formatCode>0.0000</c:formatCode>
                <c:ptCount val="4"/>
                <c:pt idx="0">
                  <c:v>0.22006751041774081</c:v>
                </c:pt>
                <c:pt idx="1">
                  <c:v>0.20194385417247984</c:v>
                </c:pt>
                <c:pt idx="2">
                  <c:v>0.19755319058537121</c:v>
                </c:pt>
                <c:pt idx="3">
                  <c:v>0.14871080378479162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2-4707-A2CF-C83FF0287C6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'Fiber morphology'!$H$2:$H$4</c:f>
              <c:numCache>
                <c:formatCode>0.000</c:formatCode>
                <c:ptCount val="3"/>
                <c:pt idx="0">
                  <c:v>0.80203695324911983</c:v>
                </c:pt>
                <c:pt idx="1">
                  <c:v>0.8333609359968136</c:v>
                </c:pt>
                <c:pt idx="2">
                  <c:v>2.2697421172718624</c:v>
                </c:pt>
              </c:numCache>
            </c:numRef>
          </c:xVal>
          <c:yVal>
            <c:numRef>
              <c:f>'Fiber morphology'!$M$2:$M$4</c:f>
              <c:numCache>
                <c:formatCode>0.0000</c:formatCode>
                <c:ptCount val="3"/>
                <c:pt idx="0">
                  <c:v>5.9703316749427256E-2</c:v>
                </c:pt>
                <c:pt idx="1">
                  <c:v>5.938754378495878E-2</c:v>
                </c:pt>
                <c:pt idx="2">
                  <c:v>0.15443288608578615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2-4707-A2CF-C83FF0287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27648"/>
        <c:axId val="1039673792"/>
      </c:scatterChart>
      <c:valAx>
        <c:axId val="1048927648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Fiber length,</a:t>
                </a:r>
                <a:r>
                  <a:rPr lang="en-US" baseline="0"/>
                  <a:t>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73792"/>
        <c:crosses val="autoZero"/>
        <c:crossBetween val="midCat"/>
      </c:valAx>
      <c:valAx>
        <c:axId val="10396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Coarseness, mg/m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Switchgrass: Coarseness vs Fiber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'Fiber morphology'!$D$38</c:f>
              <c:strCache>
                <c:ptCount val="1"/>
                <c:pt idx="0">
                  <c:v>AS-Switchgrass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'Fiber morphology'!$H$38:$H$41</c:f>
              <c:numCache>
                <c:formatCode>0.0000</c:formatCode>
                <c:ptCount val="4"/>
                <c:pt idx="0">
                  <c:v>0.88632030625349256</c:v>
                </c:pt>
                <c:pt idx="1">
                  <c:v>0.88747821454516107</c:v>
                </c:pt>
                <c:pt idx="2">
                  <c:v>0.89467544067233395</c:v>
                </c:pt>
                <c:pt idx="3" formatCode="0.00000">
                  <c:v>0.89107223232922839</c:v>
                </c:pt>
              </c:numCache>
            </c:numRef>
          </c:xVal>
          <c:yVal>
            <c:numRef>
              <c:f>'Fiber morphology'!$M$38:$M$41</c:f>
              <c:numCache>
                <c:formatCode>0.0000</c:formatCode>
                <c:ptCount val="4"/>
                <c:pt idx="0">
                  <c:v>0.30092232981777806</c:v>
                </c:pt>
                <c:pt idx="1">
                  <c:v>0.20969862811221859</c:v>
                </c:pt>
                <c:pt idx="2">
                  <c:v>0.17608095342217428</c:v>
                </c:pt>
                <c:pt idx="3">
                  <c:v>0.13614232702305989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1-44F5-B71F-BDD2721623F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'Fiber morphology'!$H$2:$H$4</c:f>
              <c:numCache>
                <c:formatCode>0.000</c:formatCode>
                <c:ptCount val="3"/>
                <c:pt idx="0">
                  <c:v>0.80203695324911983</c:v>
                </c:pt>
                <c:pt idx="1">
                  <c:v>0.8333609359968136</c:v>
                </c:pt>
                <c:pt idx="2">
                  <c:v>2.2697421172718624</c:v>
                </c:pt>
              </c:numCache>
            </c:numRef>
          </c:xVal>
          <c:yVal>
            <c:numRef>
              <c:f>'Fiber morphology'!$M$2:$M$4</c:f>
              <c:numCache>
                <c:formatCode>0.0000</c:formatCode>
                <c:ptCount val="3"/>
                <c:pt idx="0">
                  <c:v>5.9703316749427256E-2</c:v>
                </c:pt>
                <c:pt idx="1">
                  <c:v>5.938754378495878E-2</c:v>
                </c:pt>
                <c:pt idx="2">
                  <c:v>0.15443288608578615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61-44F5-B71F-BDD272162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27648"/>
        <c:axId val="1039673792"/>
      </c:scatterChart>
      <c:valAx>
        <c:axId val="1048927648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Fiber length,</a:t>
                </a:r>
                <a:r>
                  <a:rPr lang="en-US" baseline="0"/>
                  <a:t>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73792"/>
        <c:crosses val="autoZero"/>
        <c:crossBetween val="midCat"/>
      </c:valAx>
      <c:valAx>
        <c:axId val="10396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Coarseness, mg/m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9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1304925</xdr:colOff>
      <xdr:row>98</xdr:row>
      <xdr:rowOff>123825</xdr:rowOff>
    </xdr:from>
    <xdr:to>
      <xdr:col>14</xdr:col>
      <xdr:colOff>922764</xdr:colOff>
      <xdr:row>123</xdr:row>
      <xdr:rowOff>142277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FDAACD7-BED7-85C3-0F30-591F5E890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7075" y="19554825"/>
          <a:ext cx="9285714" cy="4780952"/>
        </a:xfrm>
        <a:prstGeom prst="rect">
          <a:avLst/>
        </a:prstGeom>
      </xdr:spPr>
    </xdr:pic>
    <xdr:clientData/>
  </xdr:twoCellAnchor>
  <xdr:twoCellAnchor>
    <xdr:from>
      <xdr:col>5</xdr:col>
      <xdr:colOff>200025</xdr:colOff>
      <xdr:row>109</xdr:row>
      <xdr:rowOff>80962</xdr:rowOff>
    </xdr:from>
    <xdr:to>
      <xdr:col>8</xdr:col>
      <xdr:colOff>419100</xdr:colOff>
      <xdr:row>126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3664519-B212-4695-8B19-4DCC43FAD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304799</xdr:colOff>
      <xdr:row>114</xdr:row>
      <xdr:rowOff>180976</xdr:rowOff>
    </xdr:from>
    <xdr:to>
      <xdr:col>7</xdr:col>
      <xdr:colOff>800100</xdr:colOff>
      <xdr:row>116</xdr:row>
      <xdr:rowOff>47626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C9B3626-6DFE-E24F-BFA3-D514ADF33772}"/>
            </a:ext>
          </a:extLst>
        </xdr:cNvPr>
        <xdr:cNvSpPr txBox="1"/>
      </xdr:nvSpPr>
      <xdr:spPr>
        <a:xfrm>
          <a:off x="7467599" y="18849976"/>
          <a:ext cx="495301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NBSK</a:t>
          </a:r>
        </a:p>
      </xdr:txBody>
    </xdr:sp>
    <xdr:clientData/>
  </xdr:twoCellAnchor>
  <xdr:twoCellAnchor>
    <xdr:from>
      <xdr:col>8</xdr:col>
      <xdr:colOff>542925</xdr:colOff>
      <xdr:row>109</xdr:row>
      <xdr:rowOff>66675</xdr:rowOff>
    </xdr:from>
    <xdr:to>
      <xdr:col>15</xdr:col>
      <xdr:colOff>762000</xdr:colOff>
      <xdr:row>126</xdr:row>
      <xdr:rowOff>100013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201915E-9F47-409A-A28E-EF7245241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904875</xdr:colOff>
      <xdr:row>109</xdr:row>
      <xdr:rowOff>57150</xdr:rowOff>
    </xdr:from>
    <xdr:to>
      <xdr:col>16</xdr:col>
      <xdr:colOff>0</xdr:colOff>
      <xdr:row>126</xdr:row>
      <xdr:rowOff>90488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9D2EB96-F6E5-4E5F-B5A3-95E152DDB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0.27516</cdr:x>
      <cdr:y>0.64726</cdr:y>
    </cdr:from>
    <cdr:to>
      <cdr:x>0.36863</cdr:x>
      <cdr:y>0.72926</cdr:y>
    </cdr:to>
    <cdr:sp macro="" textlink="">
      <cdr:nvSpPr>
        <cdr:cNvPr id="2" name="TextBox 21">
          <a:extLst xmlns:a="http://schemas.openxmlformats.org/drawingml/2006/main">
            <a:ext uri="{FF2B5EF4-FFF2-40B4-BE49-F238E27FC236}">
              <a16:creationId xmlns:a16="http://schemas.microsoft.com/office/drawing/2014/main" id="{2C9B3626-6DFE-E24F-BFA3-D514ADF33772}"/>
            </a:ext>
          </a:extLst>
        </cdr:cNvPr>
        <cdr:cNvSpPr txBox="1"/>
      </cdr:nvSpPr>
      <cdr:spPr>
        <a:xfrm xmlns:a="http://schemas.openxmlformats.org/drawingml/2006/main">
          <a:off x="1336659" y="2117730"/>
          <a:ext cx="454042" cy="2682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BEK</a:t>
          </a:r>
        </a:p>
      </cdr:txBody>
    </cdr:sp>
  </cdr:relSizeAnchor>
  <cdr:relSizeAnchor xmlns:cdr="http://schemas.openxmlformats.org/drawingml/2006/chartDrawing">
    <cdr:from>
      <cdr:x>0.36078</cdr:x>
      <cdr:y>0.23144</cdr:y>
    </cdr:from>
    <cdr:to>
      <cdr:x>0.55882</cdr:x>
      <cdr:y>0.30713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544F698-838F-3A87-30CB-22CEA5FC5D44}"/>
            </a:ext>
          </a:extLst>
        </cdr:cNvPr>
        <cdr:cNvSpPr txBox="1"/>
      </cdr:nvSpPr>
      <cdr:spPr>
        <a:xfrm xmlns:a="http://schemas.openxmlformats.org/drawingml/2006/main">
          <a:off x="1752599" y="757236"/>
          <a:ext cx="962026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/>
            <a:t>Kappa 141</a:t>
          </a:r>
        </a:p>
      </cdr:txBody>
    </cdr:sp>
  </cdr:relSizeAnchor>
  <cdr:relSizeAnchor xmlns:cdr="http://schemas.openxmlformats.org/drawingml/2006/chartDrawing">
    <cdr:from>
      <cdr:x>0.36536</cdr:x>
      <cdr:y>0.32411</cdr:y>
    </cdr:from>
    <cdr:to>
      <cdr:x>0.5634</cdr:x>
      <cdr:y>0.39981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5DAC902-577C-C0DC-96BB-BFA9DB037A59}"/>
            </a:ext>
          </a:extLst>
        </cdr:cNvPr>
        <cdr:cNvSpPr txBox="1"/>
      </cdr:nvSpPr>
      <cdr:spPr>
        <a:xfrm xmlns:a="http://schemas.openxmlformats.org/drawingml/2006/main">
          <a:off x="1774825" y="1060450"/>
          <a:ext cx="962026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73</a:t>
          </a:r>
        </a:p>
      </cdr:txBody>
    </cdr:sp>
  </cdr:relSizeAnchor>
  <cdr:relSizeAnchor xmlns:cdr="http://schemas.openxmlformats.org/drawingml/2006/chartDrawing">
    <cdr:from>
      <cdr:x>0.35948</cdr:x>
      <cdr:y>0.4755</cdr:y>
    </cdr:from>
    <cdr:to>
      <cdr:x>0.55752</cdr:x>
      <cdr:y>0.55119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A4C5B01-065E-92EF-7727-55DC7FAF102B}"/>
            </a:ext>
          </a:extLst>
        </cdr:cNvPr>
        <cdr:cNvSpPr txBox="1"/>
      </cdr:nvSpPr>
      <cdr:spPr>
        <a:xfrm xmlns:a="http://schemas.openxmlformats.org/drawingml/2006/main">
          <a:off x="1746250" y="1555750"/>
          <a:ext cx="962026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61</a:t>
          </a:r>
        </a:p>
      </cdr:txBody>
    </cdr:sp>
  </cdr:relSizeAnchor>
  <cdr:relSizeAnchor xmlns:cdr="http://schemas.openxmlformats.org/drawingml/2006/chartDrawing">
    <cdr:from>
      <cdr:x>0.33007</cdr:x>
      <cdr:y>0.52208</cdr:y>
    </cdr:from>
    <cdr:to>
      <cdr:x>0.5281</cdr:x>
      <cdr:y>0.59777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ED2297D-9A7B-60DB-6617-FABEE242C8AA}"/>
            </a:ext>
          </a:extLst>
        </cdr:cNvPr>
        <cdr:cNvSpPr txBox="1"/>
      </cdr:nvSpPr>
      <cdr:spPr>
        <a:xfrm xmlns:a="http://schemas.openxmlformats.org/drawingml/2006/main">
          <a:off x="1603375" y="1708150"/>
          <a:ext cx="962026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53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0.27516</cdr:x>
      <cdr:y>0.64726</cdr:y>
    </cdr:from>
    <cdr:to>
      <cdr:x>0.35882</cdr:x>
      <cdr:y>0.7278</cdr:y>
    </cdr:to>
    <cdr:sp macro="" textlink="">
      <cdr:nvSpPr>
        <cdr:cNvPr id="2" name="TextBox 21">
          <a:extLst xmlns:a="http://schemas.openxmlformats.org/drawingml/2006/main">
            <a:ext uri="{FF2B5EF4-FFF2-40B4-BE49-F238E27FC236}">
              <a16:creationId xmlns:a16="http://schemas.microsoft.com/office/drawing/2014/main" id="{2C9B3626-6DFE-E24F-BFA3-D514ADF33772}"/>
            </a:ext>
          </a:extLst>
        </cdr:cNvPr>
        <cdr:cNvSpPr txBox="1"/>
      </cdr:nvSpPr>
      <cdr:spPr>
        <a:xfrm xmlns:a="http://schemas.openxmlformats.org/drawingml/2006/main">
          <a:off x="1336658" y="2117731"/>
          <a:ext cx="406417" cy="26352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BEK</a:t>
          </a:r>
        </a:p>
      </cdr:txBody>
    </cdr:sp>
  </cdr:relSizeAnchor>
  <cdr:relSizeAnchor xmlns:cdr="http://schemas.openxmlformats.org/drawingml/2006/chartDrawing">
    <cdr:from>
      <cdr:x>0.32353</cdr:x>
      <cdr:y>0.18195</cdr:y>
    </cdr:from>
    <cdr:to>
      <cdr:x>0.52157</cdr:x>
      <cdr:y>0.25764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544F698-838F-3A87-30CB-22CEA5FC5D44}"/>
            </a:ext>
          </a:extLst>
        </cdr:cNvPr>
        <cdr:cNvSpPr txBox="1"/>
      </cdr:nvSpPr>
      <cdr:spPr>
        <a:xfrm xmlns:a="http://schemas.openxmlformats.org/drawingml/2006/main">
          <a:off x="1571604" y="595309"/>
          <a:ext cx="962029" cy="2476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/>
            <a:t>Kappa 86</a:t>
          </a:r>
        </a:p>
      </cdr:txBody>
    </cdr:sp>
  </cdr:relSizeAnchor>
  <cdr:relSizeAnchor xmlns:cdr="http://schemas.openxmlformats.org/drawingml/2006/chartDrawing">
    <cdr:from>
      <cdr:x>0.33595</cdr:x>
      <cdr:y>0.22222</cdr:y>
    </cdr:from>
    <cdr:to>
      <cdr:x>0.53399</cdr:x>
      <cdr:y>0.29792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5DAC902-577C-C0DC-96BB-BFA9DB037A59}"/>
            </a:ext>
          </a:extLst>
        </cdr:cNvPr>
        <cdr:cNvSpPr txBox="1"/>
      </cdr:nvSpPr>
      <cdr:spPr>
        <a:xfrm xmlns:a="http://schemas.openxmlformats.org/drawingml/2006/main">
          <a:off x="1631953" y="727060"/>
          <a:ext cx="962028" cy="247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79</a:t>
          </a:r>
        </a:p>
      </cdr:txBody>
    </cdr:sp>
  </cdr:relSizeAnchor>
  <cdr:relSizeAnchor xmlns:cdr="http://schemas.openxmlformats.org/drawingml/2006/chartDrawing">
    <cdr:from>
      <cdr:x>0.3536</cdr:x>
      <cdr:y>0.39107</cdr:y>
    </cdr:from>
    <cdr:to>
      <cdr:x>0.55164</cdr:x>
      <cdr:y>0.46676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A4C5B01-065E-92EF-7727-55DC7FAF102B}"/>
            </a:ext>
          </a:extLst>
        </cdr:cNvPr>
        <cdr:cNvSpPr txBox="1"/>
      </cdr:nvSpPr>
      <cdr:spPr>
        <a:xfrm xmlns:a="http://schemas.openxmlformats.org/drawingml/2006/main">
          <a:off x="1717689" y="1279534"/>
          <a:ext cx="962029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28</a:t>
          </a:r>
        </a:p>
      </cdr:txBody>
    </cdr:sp>
  </cdr:relSizeAnchor>
  <cdr:relSizeAnchor xmlns:cdr="http://schemas.openxmlformats.org/drawingml/2006/chartDrawing">
    <cdr:from>
      <cdr:x>0.36144</cdr:x>
      <cdr:y>0.26007</cdr:y>
    </cdr:from>
    <cdr:to>
      <cdr:x>0.55948</cdr:x>
      <cdr:y>0.33577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7398FD3-90F9-7BA4-1936-D168A41BC19E}"/>
            </a:ext>
          </a:extLst>
        </cdr:cNvPr>
        <cdr:cNvSpPr txBox="1"/>
      </cdr:nvSpPr>
      <cdr:spPr>
        <a:xfrm xmlns:a="http://schemas.openxmlformats.org/drawingml/2006/main">
          <a:off x="1755775" y="850900"/>
          <a:ext cx="962028" cy="247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31</a:t>
          </a:r>
        </a:p>
      </cdr:txBody>
    </cdr:sp>
  </cdr:relSizeAnchor>
  <cdr:relSizeAnchor xmlns:cdr="http://schemas.openxmlformats.org/drawingml/2006/chartDrawing">
    <cdr:from>
      <cdr:x>0.74183</cdr:x>
      <cdr:y>0.2426</cdr:y>
    </cdr:from>
    <cdr:to>
      <cdr:x>0.85098</cdr:x>
      <cdr:y>0.31732</cdr:y>
    </cdr:to>
    <cdr:sp macro="" textlink="">
      <cdr:nvSpPr>
        <cdr:cNvPr id="8" name="TextBox 21">
          <a:extLst xmlns:a="http://schemas.openxmlformats.org/drawingml/2006/main">
            <a:ext uri="{FF2B5EF4-FFF2-40B4-BE49-F238E27FC236}">
              <a16:creationId xmlns:a16="http://schemas.microsoft.com/office/drawing/2014/main" id="{2C9B3626-6DFE-E24F-BFA3-D514ADF33772}"/>
            </a:ext>
          </a:extLst>
        </cdr:cNvPr>
        <cdr:cNvSpPr txBox="1"/>
      </cdr:nvSpPr>
      <cdr:spPr>
        <a:xfrm xmlns:a="http://schemas.openxmlformats.org/drawingml/2006/main">
          <a:off x="3603624" y="793748"/>
          <a:ext cx="530225" cy="24447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NBSK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0.26928</cdr:x>
      <cdr:y>0.68511</cdr:y>
    </cdr:from>
    <cdr:to>
      <cdr:x>0.35882</cdr:x>
      <cdr:y>0.76274</cdr:y>
    </cdr:to>
    <cdr:sp macro="" textlink="">
      <cdr:nvSpPr>
        <cdr:cNvPr id="2" name="TextBox 21">
          <a:extLst xmlns:a="http://schemas.openxmlformats.org/drawingml/2006/main">
            <a:ext uri="{FF2B5EF4-FFF2-40B4-BE49-F238E27FC236}">
              <a16:creationId xmlns:a16="http://schemas.microsoft.com/office/drawing/2014/main" id="{2C9B3626-6DFE-E24F-BFA3-D514ADF33772}"/>
            </a:ext>
          </a:extLst>
        </cdr:cNvPr>
        <cdr:cNvSpPr txBox="1"/>
      </cdr:nvSpPr>
      <cdr:spPr>
        <a:xfrm xmlns:a="http://schemas.openxmlformats.org/drawingml/2006/main">
          <a:off x="1308095" y="2241569"/>
          <a:ext cx="434980" cy="25398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BEK</a:t>
          </a:r>
        </a:p>
      </cdr:txBody>
    </cdr:sp>
  </cdr:relSizeAnchor>
  <cdr:relSizeAnchor xmlns:cdr="http://schemas.openxmlformats.org/drawingml/2006/chartDrawing">
    <cdr:from>
      <cdr:x>0.2902</cdr:x>
      <cdr:y>0.20815</cdr:y>
    </cdr:from>
    <cdr:to>
      <cdr:x>0.48824</cdr:x>
      <cdr:y>0.28384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544F698-838F-3A87-30CB-22CEA5FC5D44}"/>
            </a:ext>
          </a:extLst>
        </cdr:cNvPr>
        <cdr:cNvSpPr txBox="1"/>
      </cdr:nvSpPr>
      <cdr:spPr>
        <a:xfrm xmlns:a="http://schemas.openxmlformats.org/drawingml/2006/main">
          <a:off x="1409703" y="681036"/>
          <a:ext cx="962029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/>
            <a:t>Kappa 72</a:t>
          </a:r>
        </a:p>
      </cdr:txBody>
    </cdr:sp>
  </cdr:relSizeAnchor>
  <cdr:relSizeAnchor xmlns:cdr="http://schemas.openxmlformats.org/drawingml/2006/chartDrawing">
    <cdr:from>
      <cdr:x>0.28889</cdr:x>
      <cdr:y>0.38816</cdr:y>
    </cdr:from>
    <cdr:to>
      <cdr:x>0.48693</cdr:x>
      <cdr:y>0.46386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85DAC902-577C-C0DC-96BB-BFA9DB037A59}"/>
            </a:ext>
          </a:extLst>
        </cdr:cNvPr>
        <cdr:cNvSpPr txBox="1"/>
      </cdr:nvSpPr>
      <cdr:spPr>
        <a:xfrm xmlns:a="http://schemas.openxmlformats.org/drawingml/2006/main">
          <a:off x="1403361" y="1269993"/>
          <a:ext cx="962029" cy="247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65</a:t>
          </a:r>
        </a:p>
      </cdr:txBody>
    </cdr:sp>
  </cdr:relSizeAnchor>
  <cdr:relSizeAnchor xmlns:cdr="http://schemas.openxmlformats.org/drawingml/2006/chartDrawing">
    <cdr:from>
      <cdr:x>0.28497</cdr:x>
      <cdr:y>0.53663</cdr:y>
    </cdr:from>
    <cdr:to>
      <cdr:x>0.48301</cdr:x>
      <cdr:y>0.61232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A4C5B01-065E-92EF-7727-55DC7FAF102B}"/>
            </a:ext>
          </a:extLst>
        </cdr:cNvPr>
        <cdr:cNvSpPr txBox="1"/>
      </cdr:nvSpPr>
      <cdr:spPr>
        <a:xfrm xmlns:a="http://schemas.openxmlformats.org/drawingml/2006/main">
          <a:off x="1384325" y="1755768"/>
          <a:ext cx="962029" cy="247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52</a:t>
          </a:r>
        </a:p>
      </cdr:txBody>
    </cdr:sp>
  </cdr:relSizeAnchor>
  <cdr:relSizeAnchor xmlns:cdr="http://schemas.openxmlformats.org/drawingml/2006/chartDrawing">
    <cdr:from>
      <cdr:x>0.29281</cdr:x>
      <cdr:y>0.45512</cdr:y>
    </cdr:from>
    <cdr:to>
      <cdr:x>0.49085</cdr:x>
      <cdr:y>0.53082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7398FD3-90F9-7BA4-1936-D168A41BC19E}"/>
            </a:ext>
          </a:extLst>
        </cdr:cNvPr>
        <cdr:cNvSpPr txBox="1"/>
      </cdr:nvSpPr>
      <cdr:spPr>
        <a:xfrm xmlns:a="http://schemas.openxmlformats.org/drawingml/2006/main">
          <a:off x="1422410" y="1489082"/>
          <a:ext cx="962029" cy="2476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Kappa 61</a:t>
          </a:r>
        </a:p>
      </cdr:txBody>
    </cdr:sp>
  </cdr:relSizeAnchor>
  <cdr:relSizeAnchor xmlns:cdr="http://schemas.openxmlformats.org/drawingml/2006/chartDrawing">
    <cdr:from>
      <cdr:x>0.75163</cdr:x>
      <cdr:y>0.35614</cdr:y>
    </cdr:from>
    <cdr:to>
      <cdr:x>0.8549</cdr:x>
      <cdr:y>0.42795</cdr:y>
    </cdr:to>
    <cdr:sp macro="" textlink="">
      <cdr:nvSpPr>
        <cdr:cNvPr id="6" name="TextBox 21">
          <a:extLst xmlns:a="http://schemas.openxmlformats.org/drawingml/2006/main">
            <a:ext uri="{FF2B5EF4-FFF2-40B4-BE49-F238E27FC236}">
              <a16:creationId xmlns:a16="http://schemas.microsoft.com/office/drawing/2014/main" id="{9EE25993-E6D5-CAAD-FDCD-0C7EC4D185A5}"/>
            </a:ext>
          </a:extLst>
        </cdr:cNvPr>
        <cdr:cNvSpPr txBox="1"/>
      </cdr:nvSpPr>
      <cdr:spPr>
        <a:xfrm xmlns:a="http://schemas.openxmlformats.org/drawingml/2006/main">
          <a:off x="3651231" y="1165232"/>
          <a:ext cx="501669" cy="23494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NBSK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54"/>
  <sheetViews>
    <sheetView tabSelected="1" workbookViewId="0">
      <pane ySplit="1" topLeftCell="A2" activePane="bottomLeft" state="frozen"/>
      <selection pane="bottomLeft" activeCell="C73" sqref="C73"/>
    </sheetView>
  </sheetViews>
  <sheetFormatPr defaultRowHeight="15"/>
  <cols>
    <col min="1" max="1" width="45.7109375" bestFit="1" customWidth="1"/>
    <col min="2" max="3" width="16.42578125" customWidth="1"/>
    <col min="4" max="4" width="35.42578125" customWidth="1"/>
    <col min="5" max="5" width="32.7109375" style="1" customWidth="1"/>
    <col min="6" max="6" width="20.85546875" style="1" bestFit="1" customWidth="1"/>
    <col min="7" max="7" width="13.85546875" style="2" customWidth="1"/>
    <col min="8" max="8" width="19.5703125" style="1" customWidth="1"/>
    <col min="9" max="10" width="12.140625" customWidth="1"/>
    <col min="11" max="11" width="13" customWidth="1"/>
    <col min="12" max="12" width="12.140625" customWidth="1"/>
    <col min="13" max="13" width="20.85546875" customWidth="1"/>
    <col min="14" max="14" width="20.42578125" customWidth="1"/>
    <col min="15" max="15" width="19.42578125" customWidth="1"/>
    <col min="16" max="16" width="25.28515625" style="1" customWidth="1"/>
  </cols>
  <sheetData>
    <row r="1" spans="1:20" s="16" customFormat="1" ht="45" customHeight="1">
      <c r="A1" s="15" t="s">
        <v>21</v>
      </c>
      <c r="B1" s="15" t="s">
        <v>41</v>
      </c>
      <c r="C1" s="15" t="s">
        <v>58</v>
      </c>
      <c r="D1" s="15" t="s">
        <v>59</v>
      </c>
      <c r="E1" s="15" t="s">
        <v>38</v>
      </c>
      <c r="F1" s="15" t="s">
        <v>0</v>
      </c>
      <c r="G1" s="15" t="s">
        <v>10</v>
      </c>
      <c r="H1" s="15" t="s">
        <v>35</v>
      </c>
      <c r="I1" s="15" t="s">
        <v>72</v>
      </c>
      <c r="J1" s="15" t="s">
        <v>3</v>
      </c>
      <c r="K1" s="15" t="s">
        <v>4</v>
      </c>
      <c r="L1" s="15" t="s">
        <v>5</v>
      </c>
      <c r="M1" s="15" t="s">
        <v>6</v>
      </c>
      <c r="N1" s="15" t="s">
        <v>48</v>
      </c>
      <c r="O1" s="15" t="s">
        <v>73</v>
      </c>
      <c r="P1" s="15" t="s">
        <v>7</v>
      </c>
    </row>
    <row r="2" spans="1:20" s="9" customFormat="1">
      <c r="A2" s="3" t="s">
        <v>19</v>
      </c>
      <c r="B2" s="4" t="s">
        <v>18</v>
      </c>
      <c r="C2" s="4" t="s">
        <v>42</v>
      </c>
      <c r="D2" s="4" t="s">
        <v>11</v>
      </c>
      <c r="E2" s="4" t="s">
        <v>14</v>
      </c>
      <c r="F2" s="4" t="s">
        <v>17</v>
      </c>
      <c r="G2" s="13">
        <v>0</v>
      </c>
      <c r="H2" s="6">
        <v>0.80203695324911983</v>
      </c>
      <c r="I2" s="6">
        <v>19.817473168074415</v>
      </c>
      <c r="J2" s="8">
        <v>8.9394375714468052E-2</v>
      </c>
      <c r="K2" s="7">
        <v>1.5675173631398489</v>
      </c>
      <c r="L2" s="7">
        <v>3.2400856202673821E-2</v>
      </c>
      <c r="M2" s="7">
        <v>5.9703316749427256E-2</v>
      </c>
      <c r="N2" s="5">
        <f>M2*1000</f>
        <v>59.703316749427259</v>
      </c>
      <c r="O2" s="7">
        <v>0.80488303408113304</v>
      </c>
      <c r="P2" s="6">
        <v>5.7934663218195724E-3</v>
      </c>
    </row>
    <row r="3" spans="1:20" s="9" customFormat="1">
      <c r="A3" s="3" t="s">
        <v>19</v>
      </c>
      <c r="B3" s="4" t="s">
        <v>18</v>
      </c>
      <c r="C3" s="4" t="s">
        <v>42</v>
      </c>
      <c r="D3" s="4" t="s">
        <v>11</v>
      </c>
      <c r="E3" s="4" t="s">
        <v>14</v>
      </c>
      <c r="F3" s="4" t="s">
        <v>17</v>
      </c>
      <c r="G3" s="13">
        <v>0</v>
      </c>
      <c r="H3" s="6">
        <v>0.8333609359968136</v>
      </c>
      <c r="I3" s="6">
        <v>18.549386720589428</v>
      </c>
      <c r="J3" s="8">
        <v>9.1059019683520481E-2</v>
      </c>
      <c r="K3" s="7">
        <v>1.5823523813199547</v>
      </c>
      <c r="L3" s="7">
        <v>3.331297117801487E-2</v>
      </c>
      <c r="M3" s="7">
        <v>5.938754378495878E-2</v>
      </c>
      <c r="N3" s="5">
        <f t="shared" ref="N3:N54" si="0">M3*1000</f>
        <v>59.38754378495878</v>
      </c>
      <c r="O3" s="7">
        <v>0.81459306816748867</v>
      </c>
      <c r="P3" s="6">
        <v>6.026294761714816E-3</v>
      </c>
    </row>
    <row r="4" spans="1:20" s="9" customFormat="1">
      <c r="A4" s="3" t="s">
        <v>19</v>
      </c>
      <c r="B4" s="4" t="s">
        <v>18</v>
      </c>
      <c r="C4" s="4" t="s">
        <v>42</v>
      </c>
      <c r="D4" s="4" t="s">
        <v>12</v>
      </c>
      <c r="E4" s="4" t="s">
        <v>15</v>
      </c>
      <c r="F4" s="4" t="s">
        <v>17</v>
      </c>
      <c r="G4" s="13">
        <v>0</v>
      </c>
      <c r="H4" s="6">
        <v>2.2697421172718624</v>
      </c>
      <c r="I4" s="6">
        <v>28.813097734438099</v>
      </c>
      <c r="J4" s="8">
        <v>0.23121327024488936</v>
      </c>
      <c r="K4" s="7">
        <v>2.3844009246550546</v>
      </c>
      <c r="L4" s="7">
        <v>4.3547308698639112E-2</v>
      </c>
      <c r="M4" s="7">
        <v>0.15443288608578615</v>
      </c>
      <c r="N4" s="5">
        <f t="shared" si="0"/>
        <v>154.43288608578615</v>
      </c>
      <c r="O4" s="7">
        <v>1.2712010647506511</v>
      </c>
      <c r="P4" s="6">
        <v>1.1867903307672916E-2</v>
      </c>
    </row>
    <row r="5" spans="1:20" s="9" customFormat="1">
      <c r="A5" s="3" t="s">
        <v>19</v>
      </c>
      <c r="B5" s="4" t="s">
        <v>18</v>
      </c>
      <c r="C5" s="4" t="s">
        <v>42</v>
      </c>
      <c r="D5" s="4" t="s">
        <v>12</v>
      </c>
      <c r="E5" s="4" t="s">
        <v>15</v>
      </c>
      <c r="F5" s="4" t="s">
        <v>17</v>
      </c>
      <c r="G5" s="13">
        <v>0</v>
      </c>
      <c r="H5" s="6">
        <v>2.2541937473675109</v>
      </c>
      <c r="I5" s="6">
        <v>29.71347460236009</v>
      </c>
      <c r="J5" s="8">
        <v>0.22693205076551173</v>
      </c>
      <c r="K5" s="7">
        <v>2.3114739524576944</v>
      </c>
      <c r="L5" s="7">
        <v>3.949454021173341E-2</v>
      </c>
      <c r="M5" s="7">
        <v>0.14776569285439783</v>
      </c>
      <c r="N5" s="5">
        <f t="shared" si="0"/>
        <v>147.76569285439783</v>
      </c>
      <c r="O5" s="7">
        <v>1.1813239108336666</v>
      </c>
      <c r="P5" s="6">
        <v>1.1312491966665362E-2</v>
      </c>
    </row>
    <row r="6" spans="1:20" s="9" customFormat="1">
      <c r="A6" s="3" t="s">
        <v>22</v>
      </c>
      <c r="B6" s="4" t="s">
        <v>18</v>
      </c>
      <c r="C6" s="4" t="s">
        <v>42</v>
      </c>
      <c r="D6" s="4" t="s">
        <v>49</v>
      </c>
      <c r="E6" s="4" t="s">
        <v>49</v>
      </c>
      <c r="F6" s="4" t="s">
        <v>1</v>
      </c>
      <c r="G6" s="13">
        <v>95</v>
      </c>
      <c r="H6" s="6">
        <v>2.5212913063669125</v>
      </c>
      <c r="I6" s="6">
        <v>33.823209169054557</v>
      </c>
      <c r="J6" s="8">
        <v>0.12400554624664895</v>
      </c>
      <c r="K6" s="7">
        <v>1.0552958780160882</v>
      </c>
      <c r="L6" s="7">
        <v>7.2331441007064123E-2</v>
      </c>
      <c r="M6" s="7">
        <v>0.31635184753442069</v>
      </c>
      <c r="N6" s="5">
        <f t="shared" si="0"/>
        <v>316.3518475344207</v>
      </c>
      <c r="O6" s="7">
        <v>2.2021773690722313</v>
      </c>
      <c r="P6" s="6">
        <v>4.8859925461930201E-3</v>
      </c>
    </row>
    <row r="7" spans="1:20" s="9" customFormat="1">
      <c r="A7" s="3" t="s">
        <v>22</v>
      </c>
      <c r="B7" s="4" t="s">
        <v>18</v>
      </c>
      <c r="C7" s="4" t="s">
        <v>42</v>
      </c>
      <c r="D7" s="4" t="s">
        <v>49</v>
      </c>
      <c r="E7" s="4" t="s">
        <v>49</v>
      </c>
      <c r="F7" s="4" t="s">
        <v>1</v>
      </c>
      <c r="G7" s="13">
        <v>95</v>
      </c>
      <c r="H7" s="6">
        <v>2.6439923515045622</v>
      </c>
      <c r="I7" s="6">
        <v>32.751130434782667</v>
      </c>
      <c r="J7" s="8">
        <v>3.4565361728781663E-2</v>
      </c>
      <c r="K7" s="7">
        <v>0.32121011587848408</v>
      </c>
      <c r="L7" s="7">
        <v>6.0290435779590881E-2</v>
      </c>
      <c r="M7" s="7">
        <v>0.35309622157462545</v>
      </c>
      <c r="N7" s="5">
        <f t="shared" si="0"/>
        <v>353.09622157462547</v>
      </c>
      <c r="O7" s="7">
        <v>1.9400000000000013</v>
      </c>
      <c r="P7" s="6">
        <v>4.8859925461930201E-3</v>
      </c>
      <c r="R7" s="11"/>
      <c r="S7" s="17"/>
      <c r="T7" s="18"/>
    </row>
    <row r="8" spans="1:20" s="9" customFormat="1">
      <c r="A8" s="3" t="s">
        <v>23</v>
      </c>
      <c r="B8" s="4" t="s">
        <v>18</v>
      </c>
      <c r="C8" s="4" t="s">
        <v>42</v>
      </c>
      <c r="D8" s="4" t="s">
        <v>25</v>
      </c>
      <c r="E8" s="4" t="s">
        <v>25</v>
      </c>
      <c r="F8" s="4" t="s">
        <v>24</v>
      </c>
      <c r="G8" s="14">
        <v>150</v>
      </c>
      <c r="H8" s="6">
        <v>1.8393119353692124</v>
      </c>
      <c r="I8" s="6">
        <v>33.895499064254494</v>
      </c>
      <c r="J8" s="8">
        <v>6.8218385262116821E-2</v>
      </c>
      <c r="K8" s="7">
        <v>0.92671206726013866</v>
      </c>
      <c r="L8" s="7">
        <v>0.10702121542262671</v>
      </c>
      <c r="M8" s="7">
        <v>0.22659193184300136</v>
      </c>
      <c r="N8" s="5">
        <f t="shared" si="0"/>
        <v>226.59193184300136</v>
      </c>
      <c r="O8" s="7">
        <v>1.4913589649608929</v>
      </c>
      <c r="P8" s="6">
        <v>0.05</v>
      </c>
      <c r="R8" s="11"/>
      <c r="S8" s="17"/>
      <c r="T8" s="18"/>
    </row>
    <row r="9" spans="1:20" s="9" customFormat="1">
      <c r="A9" s="3" t="s">
        <v>20</v>
      </c>
      <c r="B9" s="4" t="s">
        <v>18</v>
      </c>
      <c r="C9" s="4" t="s">
        <v>42</v>
      </c>
      <c r="D9" s="4" t="s">
        <v>2</v>
      </c>
      <c r="E9" s="4" t="s">
        <v>16</v>
      </c>
      <c r="F9" s="10" t="s">
        <v>39</v>
      </c>
      <c r="G9" s="13">
        <v>90</v>
      </c>
      <c r="H9" s="6">
        <v>1.7325154537030854</v>
      </c>
      <c r="I9" s="6">
        <v>26.909739426738813</v>
      </c>
      <c r="J9" s="8">
        <v>3.8576069017254362E-2</v>
      </c>
      <c r="K9" s="7">
        <v>0.51144161665416354</v>
      </c>
      <c r="L9" s="7">
        <v>8.3463505721332445E-2</v>
      </c>
      <c r="M9" s="7">
        <v>0.25618935018742273</v>
      </c>
      <c r="N9" s="5">
        <f t="shared" si="0"/>
        <v>256.18935018742275</v>
      </c>
      <c r="O9" s="7">
        <v>2.3904239319474696</v>
      </c>
      <c r="P9" s="6">
        <v>1.0198337268741682E-2</v>
      </c>
      <c r="R9" s="11"/>
      <c r="S9" s="17"/>
      <c r="T9" s="18"/>
    </row>
    <row r="10" spans="1:20" s="9" customFormat="1">
      <c r="A10" s="3" t="s">
        <v>20</v>
      </c>
      <c r="B10" s="4" t="s">
        <v>18</v>
      </c>
      <c r="C10" s="4" t="s">
        <v>42</v>
      </c>
      <c r="D10" s="4" t="s">
        <v>2</v>
      </c>
      <c r="E10" s="4" t="s">
        <v>16</v>
      </c>
      <c r="F10" s="10" t="s">
        <v>39</v>
      </c>
      <c r="G10" s="13">
        <v>90</v>
      </c>
      <c r="H10" s="6">
        <v>1.5708377090167458</v>
      </c>
      <c r="I10" s="6">
        <v>28.5686690249834</v>
      </c>
      <c r="J10" s="8">
        <v>2.8913905782908998E-2</v>
      </c>
      <c r="K10" s="7">
        <v>0.39810990619523801</v>
      </c>
      <c r="L10" s="7">
        <v>2.8913905782908998E-2</v>
      </c>
      <c r="M10" s="7">
        <v>0.26971478633273155</v>
      </c>
      <c r="N10" s="5">
        <f t="shared" si="0"/>
        <v>269.71478633273153</v>
      </c>
      <c r="O10" s="7">
        <v>2.3904239319474696</v>
      </c>
      <c r="P10" s="6">
        <v>9.6516598069481645E-3</v>
      </c>
      <c r="R10" s="11"/>
      <c r="S10" s="17"/>
      <c r="T10" s="18"/>
    </row>
    <row r="11" spans="1:20" s="9" customFormat="1">
      <c r="A11" s="3" t="s">
        <v>26</v>
      </c>
      <c r="B11" s="4" t="s">
        <v>18</v>
      </c>
      <c r="C11" s="4" t="s">
        <v>42</v>
      </c>
      <c r="D11" s="4" t="s">
        <v>60</v>
      </c>
      <c r="E11" s="4" t="s">
        <v>28</v>
      </c>
      <c r="F11" s="10" t="s">
        <v>27</v>
      </c>
      <c r="G11" s="14">
        <v>140</v>
      </c>
      <c r="H11" s="7">
        <v>0.99445727020180374</v>
      </c>
      <c r="I11" s="6">
        <v>24.013478413478431</v>
      </c>
      <c r="J11" s="8">
        <v>4.6387866334299067E-2</v>
      </c>
      <c r="K11" s="8">
        <v>0.81792065620157561</v>
      </c>
      <c r="L11" s="7">
        <v>0.1067149803126648</v>
      </c>
      <c r="M11" s="7">
        <v>0.18382442425738374</v>
      </c>
      <c r="N11" s="5">
        <f t="shared" si="0"/>
        <v>183.82442425738373</v>
      </c>
      <c r="O11" s="7">
        <v>1.9318058492405794</v>
      </c>
      <c r="P11" s="6">
        <v>5.6315875386063951E-3</v>
      </c>
      <c r="R11" s="11"/>
      <c r="S11" s="17"/>
      <c r="T11" s="18"/>
    </row>
    <row r="12" spans="1:20" s="9" customFormat="1">
      <c r="A12" s="3" t="s">
        <v>26</v>
      </c>
      <c r="B12" s="4" t="s">
        <v>18</v>
      </c>
      <c r="C12" s="4" t="s">
        <v>42</v>
      </c>
      <c r="D12" s="4" t="s">
        <v>60</v>
      </c>
      <c r="E12" s="4" t="s">
        <v>28</v>
      </c>
      <c r="F12" s="10" t="s">
        <v>27</v>
      </c>
      <c r="G12" s="14">
        <v>140</v>
      </c>
      <c r="H12" s="7">
        <v>0.983948509868945</v>
      </c>
      <c r="I12" s="6">
        <v>23.922851865533701</v>
      </c>
      <c r="J12" s="8">
        <v>4.4600255337257977E-2</v>
      </c>
      <c r="K12" s="8">
        <v>0.82324752819348779</v>
      </c>
      <c r="L12" s="7">
        <v>0.11062761060345599</v>
      </c>
      <c r="M12" s="7">
        <v>0.17980184141466901</v>
      </c>
      <c r="N12" s="5">
        <f t="shared" si="0"/>
        <v>179.80184141466901</v>
      </c>
      <c r="O12" s="7">
        <v>1.86062959506065</v>
      </c>
      <c r="P12" s="6">
        <v>6.4173349950133532E-3</v>
      </c>
      <c r="R12" s="11"/>
      <c r="S12" s="17"/>
      <c r="T12" s="18"/>
    </row>
    <row r="13" spans="1:20" s="9" customFormat="1">
      <c r="A13" s="3" t="s">
        <v>36</v>
      </c>
      <c r="B13" s="4" t="s">
        <v>18</v>
      </c>
      <c r="C13" s="4" t="s">
        <v>42</v>
      </c>
      <c r="D13" s="4" t="s">
        <v>30</v>
      </c>
      <c r="E13" s="4" t="s">
        <v>29</v>
      </c>
      <c r="F13" s="10" t="s">
        <v>17</v>
      </c>
      <c r="G13" s="14">
        <v>0</v>
      </c>
      <c r="H13" s="7">
        <v>1.1480611309356097</v>
      </c>
      <c r="I13" s="6">
        <v>21.959211352162562</v>
      </c>
      <c r="J13" s="8">
        <v>6.2496790351281847E-2</v>
      </c>
      <c r="K13" s="8">
        <v>0.95394030844262812</v>
      </c>
      <c r="L13" s="7">
        <v>6.6479486540186414E-2</v>
      </c>
      <c r="M13" s="7">
        <v>0.10012093640859823</v>
      </c>
      <c r="N13" s="5">
        <f t="shared" si="0"/>
        <v>100.12093640859823</v>
      </c>
      <c r="O13" s="7">
        <v>1.2279059061778035</v>
      </c>
      <c r="P13" s="6">
        <v>4.2985288947160472E-3</v>
      </c>
      <c r="R13" s="11"/>
      <c r="S13" s="17"/>
      <c r="T13" s="18"/>
    </row>
    <row r="14" spans="1:20" s="9" customFormat="1">
      <c r="A14" s="3" t="s">
        <v>36</v>
      </c>
      <c r="B14" s="4" t="s">
        <v>18</v>
      </c>
      <c r="C14" s="4" t="s">
        <v>42</v>
      </c>
      <c r="D14" s="4" t="s">
        <v>30</v>
      </c>
      <c r="E14" s="4" t="s">
        <v>29</v>
      </c>
      <c r="F14" s="10" t="s">
        <v>17</v>
      </c>
      <c r="G14" s="14">
        <v>0</v>
      </c>
      <c r="H14" s="7">
        <v>1.1087388660795987</v>
      </c>
      <c r="I14" s="6">
        <v>22.306461022461683</v>
      </c>
      <c r="J14" s="8">
        <v>9.5879222923749452E-2</v>
      </c>
      <c r="K14" s="8">
        <v>1.3841298494414753</v>
      </c>
      <c r="L14" s="7">
        <v>0.132099885954649</v>
      </c>
      <c r="M14" s="7">
        <v>0.105</v>
      </c>
      <c r="N14" s="5">
        <f t="shared" si="0"/>
        <v>105</v>
      </c>
      <c r="O14" s="7">
        <v>1.2279059061778035</v>
      </c>
      <c r="P14" s="6">
        <v>1.3527430863951509E-2</v>
      </c>
      <c r="R14" s="11"/>
      <c r="S14" s="17"/>
      <c r="T14" s="18"/>
    </row>
    <row r="15" spans="1:20" s="9" customFormat="1">
      <c r="A15" s="3" t="s">
        <v>36</v>
      </c>
      <c r="B15" s="4" t="s">
        <v>18</v>
      </c>
      <c r="C15" s="4" t="s">
        <v>42</v>
      </c>
      <c r="D15" s="4" t="s">
        <v>30</v>
      </c>
      <c r="E15" s="4" t="s">
        <v>29</v>
      </c>
      <c r="F15" s="10" t="s">
        <v>17</v>
      </c>
      <c r="G15" s="14">
        <v>0</v>
      </c>
      <c r="H15" s="7">
        <v>1.0884986267172958</v>
      </c>
      <c r="I15" s="6">
        <v>22.441317431431095</v>
      </c>
      <c r="J15" s="8">
        <v>5.3688466859514464E-2</v>
      </c>
      <c r="K15" s="8">
        <v>0.87934326499811422</v>
      </c>
      <c r="L15" s="7">
        <v>9.5876434951750508E-2</v>
      </c>
      <c r="M15" s="7">
        <v>0.10923621807268269</v>
      </c>
      <c r="N15" s="5">
        <f t="shared" si="0"/>
        <v>109.23621807268269</v>
      </c>
      <c r="O15" s="7">
        <v>1.1919539804198784</v>
      </c>
      <c r="P15" s="6">
        <v>4.0290766259285437E-3</v>
      </c>
      <c r="R15" s="11"/>
      <c r="S15" s="17"/>
      <c r="T15" s="18"/>
    </row>
    <row r="16" spans="1:20" s="9" customFormat="1">
      <c r="A16" s="3" t="s">
        <v>36</v>
      </c>
      <c r="B16" s="4" t="s">
        <v>18</v>
      </c>
      <c r="C16" s="4" t="s">
        <v>42</v>
      </c>
      <c r="D16" s="4" t="s">
        <v>30</v>
      </c>
      <c r="E16" s="4" t="s">
        <v>29</v>
      </c>
      <c r="F16" s="10" t="s">
        <v>17</v>
      </c>
      <c r="G16" s="14">
        <v>0</v>
      </c>
      <c r="H16" s="7">
        <v>1.1480611309356097</v>
      </c>
      <c r="I16" s="6">
        <v>21.959211352162562</v>
      </c>
      <c r="J16" s="8">
        <v>6.2496790351281847E-2</v>
      </c>
      <c r="K16" s="8">
        <v>0.95394030844262812</v>
      </c>
      <c r="L16" s="7">
        <v>6.6479486540186414E-2</v>
      </c>
      <c r="M16" s="7">
        <v>0.10012093640859823</v>
      </c>
      <c r="N16" s="5">
        <f t="shared" si="0"/>
        <v>100.12093640859823</v>
      </c>
      <c r="O16" s="7">
        <v>1.2279059061778035</v>
      </c>
      <c r="P16" s="6">
        <v>4.2985288947160472E-3</v>
      </c>
      <c r="R16" s="11"/>
      <c r="S16" s="17"/>
      <c r="T16" s="18"/>
    </row>
    <row r="17" spans="1:20" s="9" customFormat="1">
      <c r="A17" s="3" t="s">
        <v>36</v>
      </c>
      <c r="B17" s="4" t="s">
        <v>18</v>
      </c>
      <c r="C17" s="4" t="s">
        <v>42</v>
      </c>
      <c r="D17" s="4" t="s">
        <v>30</v>
      </c>
      <c r="E17" s="4" t="s">
        <v>29</v>
      </c>
      <c r="F17" s="10" t="s">
        <v>17</v>
      </c>
      <c r="G17" s="14">
        <v>0</v>
      </c>
      <c r="H17" s="7">
        <v>1.1022321536493029</v>
      </c>
      <c r="I17" s="6">
        <v>22.363566398390436</v>
      </c>
      <c r="J17" s="8">
        <v>5.4040204803120558E-2</v>
      </c>
      <c r="K17" s="8">
        <v>0.86682013287821402</v>
      </c>
      <c r="L17" s="7">
        <v>9.7748261266585604E-2</v>
      </c>
      <c r="M17" s="7">
        <v>9.6164563744808085E-2</v>
      </c>
      <c r="N17" s="5">
        <f t="shared" si="0"/>
        <v>96.164563744808078</v>
      </c>
      <c r="O17" s="7">
        <v>1.1930537112401891</v>
      </c>
      <c r="P17" s="6">
        <v>4.0412199792300828E-3</v>
      </c>
      <c r="R17" s="11"/>
      <c r="S17" s="17"/>
      <c r="T17" s="18"/>
    </row>
    <row r="18" spans="1:20" s="9" customFormat="1">
      <c r="A18" s="3" t="s">
        <v>36</v>
      </c>
      <c r="B18" s="4" t="s">
        <v>18</v>
      </c>
      <c r="C18" s="4" t="s">
        <v>42</v>
      </c>
      <c r="D18" s="4" t="s">
        <v>31</v>
      </c>
      <c r="E18" s="4" t="s">
        <v>32</v>
      </c>
      <c r="F18" s="10" t="s">
        <v>17</v>
      </c>
      <c r="G18" s="14">
        <v>0</v>
      </c>
      <c r="H18" s="7">
        <v>2.3442736573327045</v>
      </c>
      <c r="I18" s="6">
        <v>30.457082724044181</v>
      </c>
      <c r="J18" s="8">
        <v>0.11364324871042765</v>
      </c>
      <c r="K18" s="8">
        <v>1.3381301810458144</v>
      </c>
      <c r="L18" s="7">
        <v>6.3024312421111464E-2</v>
      </c>
      <c r="M18" s="7">
        <v>0.22763623449344342</v>
      </c>
      <c r="N18" s="5">
        <f t="shared" si="0"/>
        <v>227.63623449344342</v>
      </c>
      <c r="O18" s="7">
        <v>1.7926950469725245</v>
      </c>
      <c r="P18" s="6">
        <v>9.0474634098311208E-3</v>
      </c>
      <c r="R18" s="11"/>
      <c r="S18" s="17"/>
      <c r="T18" s="18"/>
    </row>
    <row r="19" spans="1:20" s="9" customFormat="1">
      <c r="A19" s="3" t="s">
        <v>71</v>
      </c>
      <c r="B19" s="4" t="s">
        <v>40</v>
      </c>
      <c r="C19" s="4" t="s">
        <v>43</v>
      </c>
      <c r="D19" s="4" t="s">
        <v>34</v>
      </c>
      <c r="E19" s="4" t="s">
        <v>33</v>
      </c>
      <c r="F19" s="10" t="s">
        <v>17</v>
      </c>
      <c r="G19" s="14">
        <v>0</v>
      </c>
      <c r="H19" s="7">
        <v>1.3952826573494166</v>
      </c>
      <c r="I19" s="6">
        <v>19.360215171173564</v>
      </c>
      <c r="J19" s="8">
        <v>7.6785665099093514E-2</v>
      </c>
      <c r="K19" s="8">
        <v>1.0018905217780791</v>
      </c>
      <c r="L19" s="7">
        <v>2.201103291233001E-2</v>
      </c>
      <c r="M19" s="7">
        <v>7.1266513757746883E-2</v>
      </c>
      <c r="N19" s="5">
        <f t="shared" si="0"/>
        <v>71.266513757746878</v>
      </c>
      <c r="O19" s="7">
        <v>1.0409105775246867</v>
      </c>
      <c r="P19" s="6">
        <v>8.6736448517515611E-3</v>
      </c>
      <c r="R19" s="11"/>
      <c r="S19" s="17"/>
      <c r="T19" s="18"/>
    </row>
    <row r="20" spans="1:20" s="9" customFormat="1">
      <c r="A20" s="3" t="s">
        <v>71</v>
      </c>
      <c r="B20" s="4" t="s">
        <v>40</v>
      </c>
      <c r="C20" s="4" t="s">
        <v>43</v>
      </c>
      <c r="D20" s="4" t="s">
        <v>34</v>
      </c>
      <c r="E20" s="4" t="s">
        <v>33</v>
      </c>
      <c r="F20" s="10" t="s">
        <v>17</v>
      </c>
      <c r="G20" s="14">
        <v>0</v>
      </c>
      <c r="H20" s="7">
        <v>1.375470856388219</v>
      </c>
      <c r="I20" s="6">
        <v>18.651047613263835</v>
      </c>
      <c r="J20" s="8">
        <v>7.4856699883388098E-2</v>
      </c>
      <c r="K20" s="8">
        <v>0.99872386303402638</v>
      </c>
      <c r="L20" s="7">
        <v>2.3507227280480287E-2</v>
      </c>
      <c r="M20" s="7">
        <v>6.9939577424420793E-2</v>
      </c>
      <c r="N20" s="5">
        <f t="shared" si="0"/>
        <v>69.93957742442079</v>
      </c>
      <c r="O20" s="7">
        <v>1.0389840313677599</v>
      </c>
      <c r="P20" s="6">
        <v>6.6303332656114621E-3</v>
      </c>
      <c r="R20" s="11"/>
      <c r="S20" s="17"/>
      <c r="T20" s="18"/>
    </row>
    <row r="21" spans="1:20" s="9" customFormat="1">
      <c r="A21" s="3" t="s">
        <v>71</v>
      </c>
      <c r="B21" s="4" t="s">
        <v>40</v>
      </c>
      <c r="C21" s="4" t="s">
        <v>43</v>
      </c>
      <c r="D21" s="4" t="s">
        <v>34</v>
      </c>
      <c r="E21" s="4" t="s">
        <v>33</v>
      </c>
      <c r="F21" s="10" t="s">
        <v>17</v>
      </c>
      <c r="G21" s="14">
        <v>0</v>
      </c>
      <c r="H21" s="7">
        <v>1.3414966948851779</v>
      </c>
      <c r="I21" s="6">
        <v>17.40314798686941</v>
      </c>
      <c r="J21" s="8">
        <v>6.0410701795290379E-2</v>
      </c>
      <c r="K21" s="8">
        <v>0.75419808230356544</v>
      </c>
      <c r="L21" s="7">
        <v>0.10878229112885619</v>
      </c>
      <c r="M21" s="7">
        <v>9.5581911979831319E-2</v>
      </c>
      <c r="N21" s="5">
        <f t="shared" si="0"/>
        <v>95.581911979831318</v>
      </c>
      <c r="O21" s="7">
        <v>1.3919310953004449</v>
      </c>
      <c r="P21" s="6">
        <v>3.8308728828942294E-3</v>
      </c>
      <c r="R21" s="11"/>
      <c r="S21" s="17"/>
      <c r="T21" s="18"/>
    </row>
    <row r="22" spans="1:20" s="9" customFormat="1">
      <c r="A22" s="3" t="s">
        <v>71</v>
      </c>
      <c r="B22" s="4" t="s">
        <v>40</v>
      </c>
      <c r="C22" s="4" t="s">
        <v>43</v>
      </c>
      <c r="D22" s="4" t="s">
        <v>34</v>
      </c>
      <c r="E22" s="4" t="s">
        <v>33</v>
      </c>
      <c r="F22" s="10" t="s">
        <v>17</v>
      </c>
      <c r="G22" s="14">
        <v>0</v>
      </c>
      <c r="H22" s="7">
        <v>1.3456839252376041</v>
      </c>
      <c r="I22" s="6">
        <v>16.915844732507399</v>
      </c>
      <c r="J22" s="8">
        <v>6.1322580645161301E-2</v>
      </c>
      <c r="K22" s="8">
        <v>0.96068307522800911</v>
      </c>
      <c r="L22" s="7">
        <v>0.102169839980692</v>
      </c>
      <c r="M22" s="7">
        <v>8.9397979626537019E-2</v>
      </c>
      <c r="N22" s="5">
        <f t="shared" si="0"/>
        <v>89.397979626537023</v>
      </c>
      <c r="O22" s="7">
        <v>1.3198875567401736</v>
      </c>
      <c r="P22" s="6">
        <v>5.0187425714639938E-3</v>
      </c>
    </row>
    <row r="23" spans="1:20" s="9" customFormat="1">
      <c r="A23" s="3" t="s">
        <v>71</v>
      </c>
      <c r="B23" s="4" t="s">
        <v>40</v>
      </c>
      <c r="C23" s="4" t="s">
        <v>43</v>
      </c>
      <c r="D23" s="4" t="s">
        <v>34</v>
      </c>
      <c r="E23" s="4" t="s">
        <v>33</v>
      </c>
      <c r="F23" s="10" t="s">
        <v>17</v>
      </c>
      <c r="G23" s="14">
        <v>0</v>
      </c>
      <c r="H23" s="7">
        <v>1.3448310331179749</v>
      </c>
      <c r="I23" s="6">
        <v>17.567267212395887</v>
      </c>
      <c r="J23" s="8">
        <v>6.0743233371780003E-2</v>
      </c>
      <c r="K23" s="8">
        <v>0.75047028066128452</v>
      </c>
      <c r="L23" s="7">
        <v>0.10919199993977659</v>
      </c>
      <c r="M23" s="7">
        <v>9.4733766096444419E-2</v>
      </c>
      <c r="N23" s="5">
        <f t="shared" si="0"/>
        <v>94.733766096444413</v>
      </c>
      <c r="O23" s="7">
        <v>1.3689893667467443</v>
      </c>
      <c r="P23" s="6">
        <v>3.5960012660458153E-3</v>
      </c>
    </row>
    <row r="24" spans="1:20" s="9" customFormat="1">
      <c r="A24" s="3" t="s">
        <v>71</v>
      </c>
      <c r="B24" s="4" t="s">
        <v>40</v>
      </c>
      <c r="C24" s="4" t="s">
        <v>43</v>
      </c>
      <c r="D24" s="4" t="s">
        <v>61</v>
      </c>
      <c r="E24" s="4" t="s">
        <v>57</v>
      </c>
      <c r="F24" s="4" t="s">
        <v>1</v>
      </c>
      <c r="G24" s="13">
        <v>87</v>
      </c>
      <c r="H24" s="7">
        <v>0.89428051263103059</v>
      </c>
      <c r="I24" s="6">
        <v>18.661817410486972</v>
      </c>
      <c r="J24" s="8">
        <v>0.10793019091312735</v>
      </c>
      <c r="K24" s="8">
        <v>1.5915793547432275</v>
      </c>
      <c r="L24" s="7">
        <v>8.8907313635590207E-2</v>
      </c>
      <c r="M24" s="7">
        <v>0.14596762049812634</v>
      </c>
      <c r="N24" s="5">
        <f t="shared" si="0"/>
        <v>145.96762049812634</v>
      </c>
      <c r="O24" s="7">
        <v>2.011007264815301</v>
      </c>
      <c r="P24" s="6"/>
    </row>
    <row r="25" spans="1:20" s="9" customFormat="1">
      <c r="A25" s="3" t="s">
        <v>71</v>
      </c>
      <c r="B25" s="4" t="s">
        <v>40</v>
      </c>
      <c r="C25" s="4" t="s">
        <v>43</v>
      </c>
      <c r="D25" s="4" t="s">
        <v>61</v>
      </c>
      <c r="E25" s="4" t="s">
        <v>57</v>
      </c>
      <c r="F25" s="4" t="s">
        <v>1</v>
      </c>
      <c r="G25" s="13">
        <v>87</v>
      </c>
      <c r="H25" s="7">
        <v>0.93685537862274404</v>
      </c>
      <c r="I25" s="6">
        <v>18.628291139240357</v>
      </c>
      <c r="J25" s="8">
        <v>0.10983885706847134</v>
      </c>
      <c r="K25" s="8">
        <v>1.6169860843530375</v>
      </c>
      <c r="L25" s="7">
        <v>8.3494987809746651E-2</v>
      </c>
      <c r="M25" s="7">
        <v>0.14166179275893076</v>
      </c>
      <c r="N25" s="5">
        <f t="shared" si="0"/>
        <v>141.66179275893077</v>
      </c>
      <c r="O25" s="7">
        <v>1.9497765605890354</v>
      </c>
      <c r="P25" s="6"/>
    </row>
    <row r="26" spans="1:20" s="9" customFormat="1">
      <c r="A26" s="3" t="s">
        <v>71</v>
      </c>
      <c r="B26" s="4" t="s">
        <v>40</v>
      </c>
      <c r="C26" s="4" t="s">
        <v>43</v>
      </c>
      <c r="D26" s="4" t="s">
        <v>50</v>
      </c>
      <c r="E26" s="4" t="s">
        <v>9</v>
      </c>
      <c r="F26" s="4" t="s">
        <v>1</v>
      </c>
      <c r="G26" s="13">
        <v>102</v>
      </c>
      <c r="H26" s="7">
        <v>1.3473842172511523</v>
      </c>
      <c r="I26" s="6">
        <v>16.729807847714852</v>
      </c>
      <c r="J26" s="8">
        <v>5.7039839592812433E-2</v>
      </c>
      <c r="K26" s="8">
        <v>0.89324456697771215</v>
      </c>
      <c r="L26" s="7">
        <v>0.11938074135168321</v>
      </c>
      <c r="M26" s="7">
        <v>0.13126166703997694</v>
      </c>
      <c r="N26" s="5">
        <f t="shared" si="0"/>
        <v>131.26166703997694</v>
      </c>
      <c r="O26" s="7">
        <v>1.9929628944699902</v>
      </c>
      <c r="P26" s="6">
        <v>6.3758252332236625E-3</v>
      </c>
    </row>
    <row r="27" spans="1:20" s="9" customFormat="1">
      <c r="A27" s="3" t="s">
        <v>71</v>
      </c>
      <c r="B27" s="4" t="s">
        <v>40</v>
      </c>
      <c r="C27" s="4" t="s">
        <v>43</v>
      </c>
      <c r="D27" s="4" t="s">
        <v>37</v>
      </c>
      <c r="E27" s="4" t="s">
        <v>51</v>
      </c>
      <c r="F27" s="4" t="s">
        <v>8</v>
      </c>
      <c r="G27" s="13">
        <v>20</v>
      </c>
      <c r="H27" s="7">
        <v>1.3805684227078705</v>
      </c>
      <c r="I27" s="7">
        <v>18.449929312813179</v>
      </c>
      <c r="J27" s="8">
        <v>4.8010822427011705E-2</v>
      </c>
      <c r="K27" s="8">
        <v>0.57575269108650418</v>
      </c>
      <c r="L27" s="7">
        <v>2.5891624187861409E-2</v>
      </c>
      <c r="M27" s="7">
        <v>6.8437598620597145E-2</v>
      </c>
      <c r="N27" s="5">
        <f t="shared" si="0"/>
        <v>68.437598620597143</v>
      </c>
      <c r="O27" s="7">
        <v>1.0303141260420972</v>
      </c>
      <c r="P27" s="6">
        <v>5.0943179737946718E-3</v>
      </c>
    </row>
    <row r="28" spans="1:20" s="9" customFormat="1">
      <c r="A28" s="3" t="s">
        <v>71</v>
      </c>
      <c r="B28" s="4" t="s">
        <v>40</v>
      </c>
      <c r="C28" s="4" t="s">
        <v>43</v>
      </c>
      <c r="D28" s="4" t="s">
        <v>37</v>
      </c>
      <c r="E28" s="4" t="s">
        <v>51</v>
      </c>
      <c r="F28" s="4" t="s">
        <v>8</v>
      </c>
      <c r="G28" s="13">
        <v>20</v>
      </c>
      <c r="H28" s="7">
        <v>1.3979232370697838</v>
      </c>
      <c r="I28" s="7">
        <v>18.322166848220863</v>
      </c>
      <c r="J28" s="8">
        <v>4.7133358250059168E-2</v>
      </c>
      <c r="K28" s="8">
        <v>0.57370885199465071</v>
      </c>
      <c r="L28" s="7">
        <v>2.4492889275206882E-2</v>
      </c>
      <c r="M28" s="7">
        <v>6.9694500271056392E-2</v>
      </c>
      <c r="N28" s="5">
        <f t="shared" si="0"/>
        <v>69.694500271056398</v>
      </c>
      <c r="O28" s="7">
        <v>1.0556298479459501</v>
      </c>
      <c r="P28" s="6">
        <v>4.5875609098752507E-3</v>
      </c>
    </row>
    <row r="29" spans="1:20" s="9" customFormat="1">
      <c r="A29" s="3" t="s">
        <v>71</v>
      </c>
      <c r="B29" s="4" t="s">
        <v>40</v>
      </c>
      <c r="C29" s="4" t="s">
        <v>43</v>
      </c>
      <c r="D29" s="4" t="s">
        <v>37</v>
      </c>
      <c r="E29" s="4" t="s">
        <v>51</v>
      </c>
      <c r="F29" s="4" t="s">
        <v>8</v>
      </c>
      <c r="G29" s="13">
        <v>20</v>
      </c>
      <c r="H29" s="7">
        <v>1.3619688830772914</v>
      </c>
      <c r="I29" s="7">
        <v>19.254055915163153</v>
      </c>
      <c r="J29" s="8">
        <v>5.6721225018504816E-2</v>
      </c>
      <c r="K29" s="8">
        <v>0.66438570811744502</v>
      </c>
      <c r="L29" s="7">
        <v>3.0938444607508039E-2</v>
      </c>
      <c r="M29" s="7">
        <v>6.9099999999999995E-2</v>
      </c>
      <c r="N29" s="5">
        <f t="shared" si="0"/>
        <v>69.099999999999994</v>
      </c>
      <c r="O29" s="7">
        <v>1.04</v>
      </c>
      <c r="P29" s="6">
        <v>4.1760509594186259E-3</v>
      </c>
    </row>
    <row r="30" spans="1:20">
      <c r="A30" s="3" t="s">
        <v>71</v>
      </c>
      <c r="B30" s="4" t="s">
        <v>40</v>
      </c>
      <c r="C30" s="4" t="s">
        <v>43</v>
      </c>
      <c r="D30" s="4" t="s">
        <v>52</v>
      </c>
      <c r="E30" s="4" t="s">
        <v>52</v>
      </c>
      <c r="F30" s="4" t="s">
        <v>13</v>
      </c>
      <c r="G30" s="13">
        <v>88.5</v>
      </c>
      <c r="H30" s="7">
        <v>1.1103079437868224</v>
      </c>
      <c r="I30" s="12">
        <v>22.642020052596997</v>
      </c>
      <c r="J30" s="8">
        <v>2.96122502937721E-2</v>
      </c>
      <c r="K30" s="8">
        <v>0.30991684782608681</v>
      </c>
      <c r="L30" s="7">
        <v>4.8073204869645968E-2</v>
      </c>
      <c r="M30" s="7">
        <v>0.246941353935035</v>
      </c>
      <c r="N30" s="5">
        <f t="shared" si="0"/>
        <v>246.94135393503498</v>
      </c>
      <c r="O30" s="6">
        <v>2.7845458257211719</v>
      </c>
      <c r="P30" s="6">
        <v>6.9876698739312695E-3</v>
      </c>
    </row>
    <row r="31" spans="1:20">
      <c r="A31" s="3" t="s">
        <v>71</v>
      </c>
      <c r="B31" s="4" t="s">
        <v>40</v>
      </c>
      <c r="C31" s="4" t="s">
        <v>43</v>
      </c>
      <c r="D31" s="4" t="s">
        <v>52</v>
      </c>
      <c r="E31" s="4" t="s">
        <v>52</v>
      </c>
      <c r="F31" s="4" t="s">
        <v>13</v>
      </c>
      <c r="G31" s="13">
        <v>75</v>
      </c>
      <c r="H31" s="7">
        <v>1.1259267338819949</v>
      </c>
      <c r="I31" s="12">
        <v>22.081469132207371</v>
      </c>
      <c r="J31" s="8">
        <v>3.3837574270214617E-2</v>
      </c>
      <c r="K31" s="8">
        <v>0.38360660036166427</v>
      </c>
      <c r="L31" s="7">
        <v>4.7029673006173597E-2</v>
      </c>
      <c r="M31" s="7">
        <v>0.20518639549557699</v>
      </c>
      <c r="N31" s="5">
        <f t="shared" si="0"/>
        <v>205.18639549557699</v>
      </c>
      <c r="O31" s="6">
        <v>2.388355433287582</v>
      </c>
      <c r="P31" s="6">
        <v>7.0687978684421402E-3</v>
      </c>
    </row>
    <row r="32" spans="1:20">
      <c r="A32" s="3" t="s">
        <v>71</v>
      </c>
      <c r="B32" s="4" t="s">
        <v>40</v>
      </c>
      <c r="C32" s="4" t="s">
        <v>43</v>
      </c>
      <c r="D32" s="4" t="s">
        <v>52</v>
      </c>
      <c r="E32" s="4" t="s">
        <v>52</v>
      </c>
      <c r="F32" s="4" t="s">
        <v>13</v>
      </c>
      <c r="G32" s="13">
        <v>67.8</v>
      </c>
      <c r="H32" s="7">
        <v>1.1302130318106518</v>
      </c>
      <c r="I32" s="12">
        <v>21.287272956821724</v>
      </c>
      <c r="J32" s="8">
        <v>2.9636740561398187E-2</v>
      </c>
      <c r="K32" s="8">
        <v>0.33611566921389135</v>
      </c>
      <c r="L32" s="7">
        <v>4.3805546756302403E-2</v>
      </c>
      <c r="M32" s="7">
        <v>0.13782736908307142</v>
      </c>
      <c r="N32" s="5">
        <f t="shared" si="0"/>
        <v>137.8273690830714</v>
      </c>
      <c r="O32" s="6">
        <v>1.6604962894829365</v>
      </c>
      <c r="P32" s="6">
        <v>6.2054745701029109E-3</v>
      </c>
    </row>
    <row r="33" spans="1:16">
      <c r="A33" s="3" t="s">
        <v>71</v>
      </c>
      <c r="B33" s="4" t="s">
        <v>40</v>
      </c>
      <c r="C33" s="4" t="s">
        <v>43</v>
      </c>
      <c r="D33" s="4" t="s">
        <v>52</v>
      </c>
      <c r="E33" s="4" t="s">
        <v>52</v>
      </c>
      <c r="F33" s="4" t="s">
        <v>13</v>
      </c>
      <c r="G33" s="13">
        <v>56.4</v>
      </c>
      <c r="H33" s="7">
        <v>1.031964351118118</v>
      </c>
      <c r="I33" s="12">
        <v>20.982004085657962</v>
      </c>
      <c r="J33" s="8">
        <v>2.0539771021021055E-2</v>
      </c>
      <c r="K33" s="8">
        <v>0.23295129504504467</v>
      </c>
      <c r="L33" s="7">
        <v>4.861345252402121E-2</v>
      </c>
      <c r="M33" s="7">
        <v>0.11921304334058243</v>
      </c>
      <c r="N33" s="5">
        <f t="shared" si="0"/>
        <v>119.21304334058243</v>
      </c>
      <c r="O33" s="6">
        <v>1.47482118389863</v>
      </c>
      <c r="P33" s="6">
        <v>6.0966705018061593E-3</v>
      </c>
    </row>
    <row r="34" spans="1:16">
      <c r="A34" s="3" t="s">
        <v>71</v>
      </c>
      <c r="B34" s="4" t="s">
        <v>40</v>
      </c>
      <c r="C34" s="4" t="s">
        <v>43</v>
      </c>
      <c r="D34" s="4" t="s">
        <v>53</v>
      </c>
      <c r="E34" s="4" t="s">
        <v>53</v>
      </c>
      <c r="F34" s="4" t="s">
        <v>13</v>
      </c>
      <c r="G34" s="13">
        <v>92.7</v>
      </c>
      <c r="H34" s="7">
        <v>1.0405938669253891</v>
      </c>
      <c r="I34" s="12">
        <v>21.513110755697767</v>
      </c>
      <c r="J34" s="8">
        <v>2.7162590799031442E-2</v>
      </c>
      <c r="K34" s="8">
        <v>0.3795186924939466</v>
      </c>
      <c r="L34" s="7">
        <v>3.9693345086620473E-2</v>
      </c>
      <c r="M34" s="7">
        <v>0.22006751041774081</v>
      </c>
      <c r="N34" s="5">
        <f t="shared" si="0"/>
        <v>220.06751041774081</v>
      </c>
      <c r="O34" s="6">
        <v>2.560647113379444</v>
      </c>
      <c r="P34" s="6">
        <v>6.6624204483584958E-3</v>
      </c>
    </row>
    <row r="35" spans="1:16">
      <c r="A35" s="3" t="s">
        <v>71</v>
      </c>
      <c r="B35" s="4" t="s">
        <v>40</v>
      </c>
      <c r="C35" s="4" t="s">
        <v>43</v>
      </c>
      <c r="D35" s="4" t="s">
        <v>53</v>
      </c>
      <c r="E35" s="4" t="s">
        <v>53</v>
      </c>
      <c r="F35" s="4" t="s">
        <v>13</v>
      </c>
      <c r="G35" s="13">
        <v>83.9</v>
      </c>
      <c r="H35" s="7">
        <v>1.0866844934223807</v>
      </c>
      <c r="I35" s="12">
        <v>20.879005330611399</v>
      </c>
      <c r="J35" s="8">
        <v>2.8575313503990028E-2</v>
      </c>
      <c r="K35" s="8">
        <v>0.44642667633951749</v>
      </c>
      <c r="L35" s="7">
        <v>3.6167011612697086E-2</v>
      </c>
      <c r="M35" s="7">
        <v>0.20194385417247984</v>
      </c>
      <c r="N35" s="5">
        <f t="shared" si="0"/>
        <v>201.94385417247983</v>
      </c>
      <c r="O35" s="6">
        <v>2.4683056656381308</v>
      </c>
      <c r="P35" s="6">
        <v>6.1320724952845596E-3</v>
      </c>
    </row>
    <row r="36" spans="1:16">
      <c r="A36" s="3" t="s">
        <v>71</v>
      </c>
      <c r="B36" s="4" t="s">
        <v>40</v>
      </c>
      <c r="C36" s="4" t="s">
        <v>43</v>
      </c>
      <c r="D36" s="4" t="s">
        <v>53</v>
      </c>
      <c r="E36" s="4" t="s">
        <v>53</v>
      </c>
      <c r="F36" s="4" t="s">
        <v>13</v>
      </c>
      <c r="G36" s="13">
        <v>71.099999999999994</v>
      </c>
      <c r="H36" s="7">
        <v>1.1327354023564518</v>
      </c>
      <c r="I36" s="12">
        <v>20.849506951871682</v>
      </c>
      <c r="J36" s="8">
        <v>2.9544310732804946E-2</v>
      </c>
      <c r="K36" s="8">
        <v>0.41376566872126069</v>
      </c>
      <c r="L36" s="7">
        <v>3.1583344187996736E-2</v>
      </c>
      <c r="M36" s="7">
        <v>0.19755319058537121</v>
      </c>
      <c r="N36" s="5">
        <f t="shared" si="0"/>
        <v>197.55319058537123</v>
      </c>
      <c r="O36" s="6">
        <v>2.4273591384837245</v>
      </c>
      <c r="P36" s="6">
        <v>6.0250519206719779E-3</v>
      </c>
    </row>
    <row r="37" spans="1:16">
      <c r="A37" s="3" t="s">
        <v>71</v>
      </c>
      <c r="B37" s="4" t="s">
        <v>40</v>
      </c>
      <c r="C37" s="4" t="s">
        <v>43</v>
      </c>
      <c r="D37" s="4" t="s">
        <v>53</v>
      </c>
      <c r="E37" s="4" t="s">
        <v>53</v>
      </c>
      <c r="F37" s="4" t="s">
        <v>13</v>
      </c>
      <c r="G37" s="13">
        <v>60</v>
      </c>
      <c r="H37" s="7">
        <v>1.1404366638951211</v>
      </c>
      <c r="I37" s="12">
        <v>19.98997079288721</v>
      </c>
      <c r="J37" s="8">
        <v>2.0502539480993596E-2</v>
      </c>
      <c r="K37" s="8">
        <v>0.26967968415205151</v>
      </c>
      <c r="L37" s="7">
        <v>3.3822330557018068E-2</v>
      </c>
      <c r="M37" s="7">
        <v>0.14871080378479162</v>
      </c>
      <c r="N37" s="5">
        <f t="shared" si="0"/>
        <v>148.71080378479164</v>
      </c>
      <c r="O37" s="6">
        <v>1.900688920694021</v>
      </c>
      <c r="P37" s="6">
        <v>5.1630410127121596E-3</v>
      </c>
    </row>
    <row r="38" spans="1:16">
      <c r="A38" s="3" t="s">
        <v>71</v>
      </c>
      <c r="B38" s="4" t="s">
        <v>40</v>
      </c>
      <c r="C38" s="4" t="s">
        <v>43</v>
      </c>
      <c r="D38" s="4" t="s">
        <v>54</v>
      </c>
      <c r="E38" s="4" t="s">
        <v>54</v>
      </c>
      <c r="F38" s="4" t="s">
        <v>13</v>
      </c>
      <c r="G38" s="13">
        <v>86.5</v>
      </c>
      <c r="H38" s="7">
        <v>0.88632030625349256</v>
      </c>
      <c r="I38" s="12">
        <v>21.640327901430872</v>
      </c>
      <c r="J38" s="8">
        <v>3.7750199401794658E-2</v>
      </c>
      <c r="K38" s="8">
        <v>0.59627362911266124</v>
      </c>
      <c r="L38" s="7">
        <v>6.0821109996519809E-2</v>
      </c>
      <c r="M38" s="7">
        <v>0.30092232981777806</v>
      </c>
      <c r="N38" s="5">
        <f t="shared" si="0"/>
        <v>300.92232981777806</v>
      </c>
      <c r="O38" s="6">
        <v>3.3158618514090619</v>
      </c>
      <c r="P38" s="6">
        <v>9.8939146073267498E-3</v>
      </c>
    </row>
    <row r="39" spans="1:16">
      <c r="A39" s="3" t="s">
        <v>71</v>
      </c>
      <c r="B39" s="4" t="s">
        <v>40</v>
      </c>
      <c r="C39" s="4" t="s">
        <v>43</v>
      </c>
      <c r="D39" s="4" t="s">
        <v>54</v>
      </c>
      <c r="E39" s="4" t="s">
        <v>54</v>
      </c>
      <c r="F39" s="4" t="s">
        <v>13</v>
      </c>
      <c r="G39" s="13">
        <v>74.5</v>
      </c>
      <c r="H39" s="7">
        <v>0.88747821454516107</v>
      </c>
      <c r="I39" s="12">
        <v>21.369765335529102</v>
      </c>
      <c r="J39" s="8">
        <v>4.5108354666046069E-2</v>
      </c>
      <c r="K39" s="8">
        <v>0.74098161508028793</v>
      </c>
      <c r="L39" s="7">
        <v>6.5735978356974645E-2</v>
      </c>
      <c r="M39" s="7">
        <v>0.20969862811221859</v>
      </c>
      <c r="N39" s="5">
        <f t="shared" si="0"/>
        <v>209.69862811221859</v>
      </c>
      <c r="O39" s="6">
        <v>2.4536308691123052</v>
      </c>
      <c r="P39" s="6">
        <v>9.7821615068347783E-3</v>
      </c>
    </row>
    <row r="40" spans="1:16">
      <c r="A40" s="3" t="s">
        <v>71</v>
      </c>
      <c r="B40" s="4" t="s">
        <v>40</v>
      </c>
      <c r="C40" s="4" t="s">
        <v>43</v>
      </c>
      <c r="D40" s="4" t="s">
        <v>54</v>
      </c>
      <c r="E40" s="4" t="s">
        <v>54</v>
      </c>
      <c r="F40" s="4" t="s">
        <v>13</v>
      </c>
      <c r="G40" s="13">
        <v>63.1</v>
      </c>
      <c r="H40" s="7">
        <v>0.89467544067233395</v>
      </c>
      <c r="I40" s="12">
        <v>20.241193816884572</v>
      </c>
      <c r="J40" s="8">
        <v>3.7202435342658671E-2</v>
      </c>
      <c r="K40" s="8">
        <v>0.65477775988728815</v>
      </c>
      <c r="L40" s="7">
        <v>5.9717588113220692E-2</v>
      </c>
      <c r="M40" s="7">
        <v>0.17608095342217428</v>
      </c>
      <c r="N40" s="5">
        <f t="shared" si="0"/>
        <v>176.08095342217428</v>
      </c>
      <c r="O40" s="6">
        <v>2.2412597300178798</v>
      </c>
      <c r="P40" s="6">
        <v>8.3553537468774221E-3</v>
      </c>
    </row>
    <row r="41" spans="1:16">
      <c r="A41" s="3" t="s">
        <v>71</v>
      </c>
      <c r="B41" s="4" t="s">
        <v>40</v>
      </c>
      <c r="C41" s="4" t="s">
        <v>43</v>
      </c>
      <c r="D41" s="4" t="s">
        <v>54</v>
      </c>
      <c r="E41" s="4" t="s">
        <v>54</v>
      </c>
      <c r="F41" s="4" t="s">
        <v>13</v>
      </c>
      <c r="G41" s="13">
        <v>53.4</v>
      </c>
      <c r="H41" s="8">
        <v>0.89107223232922839</v>
      </c>
      <c r="I41" s="8">
        <v>19.312170549154807</v>
      </c>
      <c r="J41" s="8">
        <v>2.696733495632242E-2</v>
      </c>
      <c r="K41" s="8">
        <v>0.47759883287985055</v>
      </c>
      <c r="L41" s="7">
        <v>5.5035816691937745E-2</v>
      </c>
      <c r="M41" s="7">
        <v>0.13614232702305989</v>
      </c>
      <c r="N41" s="5">
        <f t="shared" si="0"/>
        <v>136.14232702305989</v>
      </c>
      <c r="O41" s="6">
        <v>1.8326645063191169</v>
      </c>
      <c r="P41" s="6">
        <v>6.3197592003575451E-3</v>
      </c>
    </row>
    <row r="42" spans="1:16">
      <c r="A42" s="3" t="s">
        <v>71</v>
      </c>
      <c r="B42" s="4" t="s">
        <v>40</v>
      </c>
      <c r="C42" s="4" t="s">
        <v>43</v>
      </c>
      <c r="D42" s="4" t="s">
        <v>70</v>
      </c>
      <c r="E42" s="4" t="s">
        <v>53</v>
      </c>
      <c r="F42" s="4" t="s">
        <v>13</v>
      </c>
      <c r="G42" s="13">
        <v>92.7</v>
      </c>
      <c r="H42" s="8">
        <v>0.96182273499271853</v>
      </c>
      <c r="I42" s="8">
        <v>23.158604376108784</v>
      </c>
      <c r="J42" s="8">
        <v>3.107723883948622E-2</v>
      </c>
      <c r="K42" s="8">
        <v>0.51908543070151725</v>
      </c>
      <c r="L42" s="7">
        <v>5.4228098763532302E-2</v>
      </c>
      <c r="M42" s="7">
        <v>0.25413081898367135</v>
      </c>
      <c r="N42" s="5">
        <f t="shared" si="0"/>
        <v>254.13081898367136</v>
      </c>
      <c r="O42" s="6">
        <v>2.789718055602183</v>
      </c>
      <c r="P42" s="6">
        <v>6.3860535169791071E-3</v>
      </c>
    </row>
    <row r="43" spans="1:16">
      <c r="A43" s="3" t="s">
        <v>71</v>
      </c>
      <c r="B43" s="4" t="s">
        <v>40</v>
      </c>
      <c r="C43" s="4" t="s">
        <v>43</v>
      </c>
      <c r="D43" s="4" t="s">
        <v>69</v>
      </c>
      <c r="E43" s="4" t="s">
        <v>53</v>
      </c>
      <c r="F43" s="4" t="s">
        <v>13</v>
      </c>
      <c r="G43" s="13">
        <v>83.9</v>
      </c>
      <c r="H43" s="8">
        <v>1.0902864345833394</v>
      </c>
      <c r="I43" s="8">
        <v>23.228231052470061</v>
      </c>
      <c r="J43" s="8">
        <v>4.0034116739161012E-2</v>
      </c>
      <c r="K43" s="8">
        <v>0.65679616248070682</v>
      </c>
      <c r="L43" s="7">
        <v>5.3723718739928164E-2</v>
      </c>
      <c r="M43" s="7">
        <v>0.19164634555924187</v>
      </c>
      <c r="N43" s="5">
        <f t="shared" si="0"/>
        <v>191.64634555924187</v>
      </c>
      <c r="O43" s="6">
        <v>2.1358247715161172</v>
      </c>
      <c r="P43" s="6">
        <v>6.3718630343348867E-3</v>
      </c>
    </row>
    <row r="44" spans="1:16">
      <c r="A44" s="3" t="s">
        <v>71</v>
      </c>
      <c r="B44" s="4" t="s">
        <v>40</v>
      </c>
      <c r="C44" s="4" t="s">
        <v>43</v>
      </c>
      <c r="D44" s="4" t="s">
        <v>68</v>
      </c>
      <c r="E44" s="4" t="s">
        <v>53</v>
      </c>
      <c r="F44" s="4" t="s">
        <v>13</v>
      </c>
      <c r="G44" s="13">
        <v>71.099999999999994</v>
      </c>
      <c r="H44" s="8">
        <v>1.1060582951803353</v>
      </c>
      <c r="I44" s="8">
        <v>22.647954449599389</v>
      </c>
      <c r="J44" s="8">
        <v>4.8513622681813667E-2</v>
      </c>
      <c r="K44" s="8">
        <v>0.76540317506554068</v>
      </c>
      <c r="L44" s="7">
        <v>5.9304210252625743E-2</v>
      </c>
      <c r="M44" s="7">
        <v>0.13902126150974614</v>
      </c>
      <c r="N44" s="5">
        <f t="shared" si="0"/>
        <v>139.02126150974615</v>
      </c>
      <c r="O44" s="6">
        <v>1.6010177836211099</v>
      </c>
      <c r="P44" s="6">
        <v>6.5911532644863415E-3</v>
      </c>
    </row>
    <row r="45" spans="1:16">
      <c r="A45" s="3" t="s">
        <v>71</v>
      </c>
      <c r="B45" s="4" t="s">
        <v>40</v>
      </c>
      <c r="C45" s="4" t="s">
        <v>43</v>
      </c>
      <c r="D45" s="4" t="s">
        <v>67</v>
      </c>
      <c r="E45" s="4" t="s">
        <v>53</v>
      </c>
      <c r="F45" s="4" t="s">
        <v>13</v>
      </c>
      <c r="G45" s="13">
        <v>60</v>
      </c>
      <c r="H45" s="8">
        <v>1.1085000305550115</v>
      </c>
      <c r="I45" s="8">
        <v>21.593438328609338</v>
      </c>
      <c r="J45" s="8">
        <v>3.8009566104287927E-2</v>
      </c>
      <c r="K45" s="8">
        <v>0.60030282605924268</v>
      </c>
      <c r="L45" s="7">
        <v>5.5508571395823839E-2</v>
      </c>
      <c r="M45" s="7">
        <v>0.14005096100688863</v>
      </c>
      <c r="N45" s="5">
        <f t="shared" si="0"/>
        <v>140.05096100688863</v>
      </c>
      <c r="O45" s="6">
        <v>1.6843814332691052</v>
      </c>
      <c r="P45" s="6">
        <v>5.3033111609524924E-3</v>
      </c>
    </row>
    <row r="46" spans="1:16">
      <c r="A46" s="3" t="s">
        <v>71</v>
      </c>
      <c r="B46" s="4" t="s">
        <v>40</v>
      </c>
      <c r="C46" s="4" t="s">
        <v>43</v>
      </c>
      <c r="D46" s="4" t="s">
        <v>66</v>
      </c>
      <c r="E46" s="4" t="s">
        <v>53</v>
      </c>
      <c r="F46" s="4" t="s">
        <v>13</v>
      </c>
      <c r="G46" s="13">
        <v>38.799999999999997</v>
      </c>
      <c r="H46" s="8">
        <v>1.1472577056971547</v>
      </c>
      <c r="I46" s="8">
        <v>20.717126984709001</v>
      </c>
      <c r="J46" s="8">
        <v>3.2605848432115003E-2</v>
      </c>
      <c r="K46" s="8">
        <v>0.50549620227249603</v>
      </c>
      <c r="L46" s="7">
        <v>3.5258786383062235E-2</v>
      </c>
      <c r="M46" s="7">
        <v>0.10717658062708992</v>
      </c>
      <c r="N46" s="5">
        <f t="shared" si="0"/>
        <v>107.17658062708992</v>
      </c>
      <c r="O46" s="6">
        <v>1.3367450866871906</v>
      </c>
      <c r="P46" s="6">
        <v>4.3420714446397281E-3</v>
      </c>
    </row>
    <row r="47" spans="1:16">
      <c r="A47" s="3" t="s">
        <v>71</v>
      </c>
      <c r="B47" s="4" t="s">
        <v>40</v>
      </c>
      <c r="C47" s="4" t="s">
        <v>43</v>
      </c>
      <c r="D47" s="4" t="s">
        <v>65</v>
      </c>
      <c r="E47" s="4" t="s">
        <v>53</v>
      </c>
      <c r="F47" s="4" t="s">
        <v>13</v>
      </c>
      <c r="G47" s="13">
        <v>25.5</v>
      </c>
      <c r="H47" s="8">
        <v>1.1313456559163699</v>
      </c>
      <c r="I47" s="8">
        <v>20.47333379689189</v>
      </c>
      <c r="J47" s="8">
        <v>5.220189832271515E-2</v>
      </c>
      <c r="K47" s="8">
        <v>0.80682864061890636</v>
      </c>
      <c r="L47" s="7">
        <v>3.299950226194294E-2</v>
      </c>
      <c r="M47" s="7">
        <v>0.10544724475503667</v>
      </c>
      <c r="N47" s="5">
        <f t="shared" si="0"/>
        <v>105.44724475503666</v>
      </c>
      <c r="O47" s="6">
        <v>1.3238325904064197</v>
      </c>
      <c r="P47" s="6">
        <v>4.9244709574425907E-3</v>
      </c>
    </row>
    <row r="48" spans="1:16">
      <c r="A48" s="3" t="s">
        <v>71</v>
      </c>
      <c r="B48" s="4" t="s">
        <v>40</v>
      </c>
      <c r="C48" s="4" t="s">
        <v>43</v>
      </c>
      <c r="D48" s="4" t="s">
        <v>64</v>
      </c>
      <c r="E48" s="4" t="s">
        <v>53</v>
      </c>
      <c r="F48" s="4" t="s">
        <v>13</v>
      </c>
      <c r="G48" s="13">
        <v>17.55</v>
      </c>
      <c r="H48" s="8">
        <v>1.0980429695606548</v>
      </c>
      <c r="I48" s="8">
        <v>20.518017251707256</v>
      </c>
      <c r="J48" s="8">
        <v>5.7541258507196033E-2</v>
      </c>
      <c r="K48" s="8">
        <v>0.89978052549369669</v>
      </c>
      <c r="L48" s="7">
        <v>3.7701176515833129E-2</v>
      </c>
      <c r="M48" s="7">
        <v>0.10021465</v>
      </c>
      <c r="N48" s="5">
        <f t="shared" si="0"/>
        <v>100.21465000000001</v>
      </c>
      <c r="O48" s="6">
        <v>1.3065483</v>
      </c>
      <c r="P48" s="6">
        <v>5.0245894160000004E-3</v>
      </c>
    </row>
    <row r="49" spans="1:16">
      <c r="A49" s="3" t="s">
        <v>71</v>
      </c>
      <c r="B49" s="4" t="s">
        <v>40</v>
      </c>
      <c r="C49" s="4" t="s">
        <v>43</v>
      </c>
      <c r="D49" s="4" t="s">
        <v>55</v>
      </c>
      <c r="E49" s="4" t="s">
        <v>55</v>
      </c>
      <c r="F49" s="4" t="s">
        <v>44</v>
      </c>
      <c r="G49" s="13">
        <v>90</v>
      </c>
      <c r="H49" s="8">
        <v>0.75803645956202681</v>
      </c>
      <c r="I49" s="8">
        <v>20.533151551312613</v>
      </c>
      <c r="J49" s="8">
        <v>6.4816162070906319E-2</v>
      </c>
      <c r="K49" s="8">
        <v>1.0985662802476068</v>
      </c>
      <c r="L49" s="7">
        <v>5.5381481607537017E-2</v>
      </c>
      <c r="M49" s="7">
        <v>0.17081006370758725</v>
      </c>
      <c r="N49" s="5">
        <f t="shared" si="0"/>
        <v>170.81006370758726</v>
      </c>
      <c r="O49" s="6">
        <v>2.1538525239381898</v>
      </c>
      <c r="P49" s="6">
        <v>8.4856001699849318E-3</v>
      </c>
    </row>
    <row r="50" spans="1:16">
      <c r="A50" s="3" t="s">
        <v>71</v>
      </c>
      <c r="B50" s="4" t="s">
        <v>40</v>
      </c>
      <c r="C50" s="4" t="s">
        <v>43</v>
      </c>
      <c r="D50" s="4" t="s">
        <v>45</v>
      </c>
      <c r="E50" s="4" t="s">
        <v>45</v>
      </c>
      <c r="F50" s="4" t="s">
        <v>44</v>
      </c>
      <c r="G50" s="13">
        <v>90</v>
      </c>
      <c r="H50" s="8">
        <v>1.13739665405219</v>
      </c>
      <c r="I50" s="8">
        <v>17.612265960492401</v>
      </c>
      <c r="J50" s="8">
        <v>4.92500184615383E-2</v>
      </c>
      <c r="K50" s="8">
        <v>0.824451630769231</v>
      </c>
      <c r="L50" s="7">
        <v>8.4451392042727086E-2</v>
      </c>
      <c r="M50" s="7">
        <v>0.13873158625189799</v>
      </c>
      <c r="N50" s="5">
        <f t="shared" si="0"/>
        <v>138.73158625189799</v>
      </c>
      <c r="O50" s="6">
        <v>1.7825</v>
      </c>
      <c r="P50" s="6">
        <v>7.2966421842793642E-3</v>
      </c>
    </row>
    <row r="51" spans="1:16">
      <c r="A51" s="3" t="s">
        <v>71</v>
      </c>
      <c r="B51" s="4" t="s">
        <v>40</v>
      </c>
      <c r="C51" s="4" t="s">
        <v>43</v>
      </c>
      <c r="D51" s="4" t="s">
        <v>46</v>
      </c>
      <c r="E51" s="4" t="s">
        <v>46</v>
      </c>
      <c r="F51" s="4" t="s">
        <v>47</v>
      </c>
      <c r="G51" s="13">
        <v>90</v>
      </c>
      <c r="H51" s="8">
        <v>1.2431740100796274</v>
      </c>
      <c r="I51" s="8">
        <v>16.410356750823251</v>
      </c>
      <c r="J51" s="8">
        <v>0.18408838896952109</v>
      </c>
      <c r="K51" s="8">
        <v>2.0806582002902769</v>
      </c>
      <c r="L51" s="7">
        <v>0.109183858681957</v>
      </c>
      <c r="M51" s="7">
        <v>0.12453263407469908</v>
      </c>
      <c r="N51" s="5">
        <f t="shared" si="0"/>
        <v>124.53263407469909</v>
      </c>
      <c r="O51" s="6">
        <v>1.81</v>
      </c>
      <c r="P51" s="6"/>
    </row>
    <row r="52" spans="1:16">
      <c r="A52" s="3" t="s">
        <v>71</v>
      </c>
      <c r="B52" s="4" t="s">
        <v>40</v>
      </c>
      <c r="C52" s="4" t="s">
        <v>42</v>
      </c>
      <c r="D52" s="4" t="s">
        <v>56</v>
      </c>
      <c r="E52" s="4" t="s">
        <v>56</v>
      </c>
      <c r="F52" s="4" t="s">
        <v>47</v>
      </c>
      <c r="G52" s="13">
        <v>60</v>
      </c>
      <c r="H52" s="8">
        <v>1.1112766584920817</v>
      </c>
      <c r="I52" s="8">
        <v>22.113330978452797</v>
      </c>
      <c r="J52" s="8">
        <v>6.2932159882654923E-2</v>
      </c>
      <c r="K52" s="8">
        <v>1.0757674367436747</v>
      </c>
      <c r="L52" s="7">
        <v>6.9967572638697642E-2</v>
      </c>
      <c r="M52" s="7">
        <v>0.26814231532303445</v>
      </c>
      <c r="N52" s="5">
        <f t="shared" si="0"/>
        <v>268.14231532303444</v>
      </c>
      <c r="O52" s="6">
        <v>3.145374850201633</v>
      </c>
      <c r="P52" s="6">
        <v>1.2715013599472216E-2</v>
      </c>
    </row>
    <row r="53" spans="1:16">
      <c r="A53" s="3" t="s">
        <v>71</v>
      </c>
      <c r="B53" s="4" t="s">
        <v>40</v>
      </c>
      <c r="C53" s="4" t="s">
        <v>42</v>
      </c>
      <c r="D53" s="4" t="s">
        <v>62</v>
      </c>
      <c r="E53" s="4" t="s">
        <v>56</v>
      </c>
      <c r="F53" s="4" t="s">
        <v>47</v>
      </c>
      <c r="G53" s="13">
        <v>50</v>
      </c>
      <c r="H53" s="8">
        <v>0.99103503944776827</v>
      </c>
      <c r="I53" s="8">
        <v>19.845357915101808</v>
      </c>
      <c r="J53" s="8">
        <v>7.539857529118138E-2</v>
      </c>
      <c r="K53" s="8">
        <v>1.2780603889351079</v>
      </c>
      <c r="L53" s="7">
        <v>5.4745170793412415E-2</v>
      </c>
      <c r="M53" s="7">
        <v>0.11143531450975369</v>
      </c>
      <c r="N53" s="5">
        <f t="shared" si="0"/>
        <v>111.4353145097537</v>
      </c>
      <c r="O53" s="6">
        <v>1.4354990417228715</v>
      </c>
      <c r="P53" s="6">
        <v>6.5378823918832464E-3</v>
      </c>
    </row>
    <row r="54" spans="1:16">
      <c r="A54" s="3" t="s">
        <v>71</v>
      </c>
      <c r="B54" s="4" t="s">
        <v>40</v>
      </c>
      <c r="C54" s="4" t="s">
        <v>42</v>
      </c>
      <c r="D54" s="4" t="s">
        <v>63</v>
      </c>
      <c r="E54" s="4" t="s">
        <v>52</v>
      </c>
      <c r="F54" s="4" t="s">
        <v>13</v>
      </c>
      <c r="G54" s="13">
        <v>22.2</v>
      </c>
      <c r="H54" s="8">
        <v>0.95229028109400238</v>
      </c>
      <c r="I54" s="8">
        <v>18.517683438155071</v>
      </c>
      <c r="J54" s="8">
        <v>7.2683812508516507E-2</v>
      </c>
      <c r="K54" s="8">
        <v>1.3340454421583345</v>
      </c>
      <c r="L54" s="7">
        <v>7.0900863003881945E-2</v>
      </c>
      <c r="M54" s="7">
        <v>6.7667179547646991E-2</v>
      </c>
      <c r="N54" s="5">
        <f t="shared" si="0"/>
        <v>67.667179547646995</v>
      </c>
      <c r="O54" s="6">
        <v>1.4019900000000001</v>
      </c>
      <c r="P54" s="6">
        <v>5.7782148803826377E-3</v>
      </c>
    </row>
  </sheetData>
  <autoFilter ref="A1:P54"/>
  <phoneticPr fontId="1" type="noConversion"/>
  <pageMargins left="0.7" right="0.7" top="0.75" bottom="0.75" header="0.3" footer="0.3"/>
  <pageSetup scale="3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022962E5EBD94881866EF256562FD2" ma:contentTypeVersion="16" ma:contentTypeDescription="Create a new document." ma:contentTypeScope="" ma:versionID="8f5a7f8368ea87b095854590a0d4072b">
  <xsd:schema xmlns:xsd="http://www.w3.org/2001/XMLSchema" xmlns:xs="http://www.w3.org/2001/XMLSchema" xmlns:p="http://schemas.microsoft.com/office/2006/metadata/properties" xmlns:ns3="1d328575-8927-453f-9dd6-340669697687" xmlns:ns4="21c6b2a7-b0d1-429d-83f2-8b9c39b2e000" targetNamespace="http://schemas.microsoft.com/office/2006/metadata/properties" ma:root="true" ma:fieldsID="6f08338c0d23ea2c7b8c45db4c0079d0" ns3:_="" ns4:_="">
    <xsd:import namespace="1d328575-8927-453f-9dd6-340669697687"/>
    <xsd:import namespace="21c6b2a7-b0d1-429d-83f2-8b9c39b2e0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28575-8927-453f-9dd6-340669697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b2a7-b0d1-429d-83f2-8b9c39b2e0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328575-8927-453f-9dd6-340669697687" xsi:nil="true"/>
  </documentManagement>
</p:properties>
</file>

<file path=customXml/itemProps1.xml><?xml version="1.0" encoding="utf-8"?>
<ds:datastoreItem xmlns:ds="http://schemas.openxmlformats.org/officeDocument/2006/customXml" ds:itemID="{3658234B-D68E-441F-BFFA-EBFB0E3C7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328575-8927-453f-9dd6-340669697687"/>
    <ds:schemaRef ds:uri="21c6b2a7-b0d1-429d-83f2-8b9c39b2e0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75C36-93DC-44F9-9D55-4EF2E4A50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D58CAD-0463-44CA-8132-8C3D9837008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21c6b2a7-b0d1-429d-83f2-8b9c39b2e000"/>
    <ds:schemaRef ds:uri="1d328575-8927-453f-9dd6-340669697687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Fiber morphology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Humberto Franco Ocampo</dc:creator>
  <cp:lastModifiedBy>Rhonald Andres Ortega </cp:lastModifiedBy>
  <cp:lastPrinted>2023-08-01T14:56:10Z</cp:lastPrinted>
  <dcterms:created xsi:type="dcterms:W3CDTF">2023-07-19T20:27:56Z</dcterms:created>
  <dcterms:modified xsi:type="dcterms:W3CDTF">2025-12-03T19:53:30Z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0x010100B6022962E5EBD94881866EF256562FD2</vt:lpwstr>
  </property>
</Properties>
</file>